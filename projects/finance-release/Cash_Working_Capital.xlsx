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a961fea4d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88a6c782204d57"/>
    <x:sheet xmlns:r="http://schemas.openxmlformats.org/officeDocument/2006/relationships" name="Assumptions" sheetId="2" r:id="R2b000484bc244702"/>
    <x:sheet xmlns:r="http://schemas.openxmlformats.org/officeDocument/2006/relationships" name="Weekly" sheetId="3" r:id="R00bdb899987e4bcb"/>
    <x:sheet xmlns:r="http://schemas.openxmlformats.org/officeDocument/2006/relationships" name="Invoices" sheetId="4" r:id="R3714826963614182"/>
    <x:sheet xmlns:r="http://schemas.openxmlformats.org/officeDocument/2006/relationships" name="Review" sheetId="5" r:id="Rfb7a9051512846aa"/>
    <x:sheet xmlns:r="http://schemas.openxmlformats.org/officeDocument/2006/relationships" name="New Invoices" sheetId="6" r:id="R743c7d87ed5844c0"/>
    <x:sheet xmlns:r="http://schemas.openxmlformats.org/officeDocument/2006/relationships" name="Actions" sheetId="7" r:id="R850b6c8fd31c45c4"/>
    <x:sheet xmlns:r="http://schemas.openxmlformats.org/officeDocument/2006/relationships" name="Audit" sheetId="8" r:id="Rda7f451816cc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$#,##0;($#,##0);&quot;-&quot;"/>
    <x:numFmt numFmtId="202" formatCode="mm/dd/yy"/>
    <x:numFmt numFmtId="203" formatCode="d-mmm"/>
    <x:numFmt numFmtId="204" formatCode="0.0%"/>
    <x:numFmt numFmtId="205" formatCode="0.00"/>
  </x:numFmts>
  <x:fonts count="11">
    <x:font>
      <x:sz val="11"/>
      <x:name val="Carlito"/>
    </x:font>
    <x:font>
      <x:sz val="11"/>
      <x:color rgb="FF172C43"/>
      <x:name val="Arial"/>
    </x:font>
    <x:font>
      <x:b/>
      <x:sz val="16"/>
      <x:color rgb="FF17324D"/>
      <x:name val="Arial"/>
    </x:font>
    <x:font>
      <x:sz val="11"/>
      <x:color rgb="FF0759E6"/>
      <x:name val="Arial"/>
    </x:font>
    <x:font>
      <x:sz val="11"/>
      <x:color rgb="FF111111"/>
      <x:name val="Arial"/>
    </x:font>
    <x:font>
      <x:sz val="11"/>
      <x:color rgb="FF087A55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sz val="11"/>
      <x:color rgb="FF111111"/>
      <x:name val="Carlito"/>
    </x:font>
    <x:font>
      <x:sz val="11"/>
      <x:color rgb="FF0759E6"/>
      <x:name val="Carlito"/>
    </x:font>
    <x:font>
      <x:sz val="11"/>
      <x:color rgb="FF087A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BAFC4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202" fontId="0" fillId="0" borderId="0" xfId="0" applyNumberFormat="1" applyFont="1" applyFill="1" applyBorder="1"/>
    <x:xf numFmtId="200" fontId="8" fillId="0" borderId="0" xfId="0" applyNumberFormat="1" applyFont="1" applyFill="1" applyBorder="1"/>
    <x:xf numFmtId="203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/>
    <x:xf numFmtId="0" fontId="9" fillId="0" borderId="0" xfId="0" applyNumberFormat="1" applyFont="1" applyFill="1" applyBorder="1"/>
    <x:xf numFmtId="203" fontId="0" fillId="0" borderId="0" xfId="0" applyNumberFormat="1" applyFont="1" applyFill="1" applyBorder="1"/>
    <x:xf numFmtId="0" fontId="10" fillId="0" borderId="0" xfId="0" applyNumberFormat="1" applyFont="1" applyFill="1" applyBorder="1"/>
    <x:xf numFmtId="201" fontId="8" fillId="0" borderId="0" xfId="0" applyNumberFormat="1" applyFont="1" applyFill="1" applyBorder="1"/>
    <x:xf numFmtId="201" fontId="10" fillId="0" borderId="0" xfId="0" applyNumberFormat="1" applyFont="1" applyFill="1" applyBorder="1"/>
    <x:xf numFmtId="205" fontId="5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dfc9c320f4cf9" /><Relationship Type="http://schemas.openxmlformats.org/officeDocument/2006/relationships/theme" Target="/xl/theme/theme1.xml" Id="R8b3c7645a73c47e9" /><Relationship Type="http://schemas.openxmlformats.org/officeDocument/2006/relationships/sharedStrings" Target="/xl/sharedStrings.xml" Id="R6a678fd3b1524036" /><Relationship Type="http://schemas.openxmlformats.org/officeDocument/2006/relationships/worksheet" Target="/xl/worksheets/sheet1.xml" Id="R5988a6c782204d57" /><Relationship Type="http://schemas.openxmlformats.org/officeDocument/2006/relationships/worksheet" Target="/xl/worksheets/sheet2.xml" Id="R2b000484bc244702" /><Relationship Type="http://schemas.openxmlformats.org/officeDocument/2006/relationships/worksheet" Target="/xl/worksheets/sheet3.xml" Id="R00bdb899987e4bcb" /><Relationship Type="http://schemas.openxmlformats.org/officeDocument/2006/relationships/worksheet" Target="/xl/worksheets/sheet4.xml" Id="R3714826963614182" /><Relationship Type="http://schemas.openxmlformats.org/officeDocument/2006/relationships/worksheet" Target="/xl/worksheets/sheet5.xml" Id="Rfb7a9051512846aa" /><Relationship Type="http://schemas.openxmlformats.org/officeDocument/2006/relationships/worksheet" Target="/xl/worksheets/sheet6.xml" Id="R743c7d87ed5844c0" /><Relationship Type="http://schemas.openxmlformats.org/officeDocument/2006/relationships/worksheet" Target="/xl/worksheets/sheet7.xml" Id="R850b6c8fd31c45c4" /><Relationship Type="http://schemas.openxmlformats.org/officeDocument/2006/relationships/worksheet" Target="/xl/worksheets/sheet8.xml" Id="Rda7f451816cc4d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2f2dc0ff0845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26-week funded cash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Funded cash</c:v>
          </c:tx>
          <c:marker>
            <c:symbol val="none"/>
          </c:marker>
          <c:cat>
            <c:strRef>
              <c:f>'Summary'!$C$17:$C$42</c:f>
              <c:strCache>
                <c:ptCount val="0"/>
              </c:strCache>
            </c:strRef>
          </c:cat>
          <c:val>
            <c:numRef>
              <c:f>'Summary'!$D$17:$D$42</c:f>
              <c:numCache>
                <c:formatCode>$#,##0;($#,##0);"-"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Minimum floor</c:v>
          </c:tx>
          <c:marker>
            <c:symbol val="none"/>
          </c:marker>
          <c:cat>
            <c:strRef>
              <c:f>'Summary'!$C$17:$C$42</c:f>
              <c:strCache>
                <c:ptCount val="0"/>
              </c:strCache>
            </c:strRef>
          </c:cat>
          <c:val>
            <c:numRef>
              <c:f>'Summary'!$E$17:$E$42</c:f>
              <c:numCache>
                <c:formatCode>$#,##0;($#,##0);"-"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2f2dc0ff0845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a77f0a0b0d49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2" t="str">
        <x:v>26-week liquidity and funding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15" hidden="0" customHeight="1">
      <x:c r="A6" s="1"/>
      <x:c r="B6" s="1"/>
      <x:c r="C6" s="14" t="str">
        <x:v>Metric</x:v>
      </x:c>
      <x:c r="D6" s="14" t="str">
        <x:v>Value</x:v>
      </x:c>
      <x:c r="E6" s="14" t="str">
        <x:v>Basis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15" hidden="0" customHeight="1">
      <x:c r="A7" s="1"/>
      <x:c r="B7" s="1"/>
      <x:c r="C7" s="5" t="str">
        <x:v>Lowest funded cash</x:v>
      </x:c>
      <x:c r="D7" s="18" t="n">
        <x:f>MIN('Weekly'!D27:AC27)</x:f>
        <x:v>178980.76923076922</x:v>
      </x:c>
      <x:c r="E7" s="5" t="str">
        <x:v>After facility flows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15" hidden="0" customHeight="1">
      <x:c r="A8" s="1"/>
      <x:c r="B8" s="1"/>
      <x:c r="C8" s="5" t="str">
        <x:v>Peak facility debt</x:v>
      </x:c>
      <x:c r="D8" s="18" t="n">
        <x:f>MAX('Weekly'!D26:AC26)</x:f>
        <x:v>0</x:v>
      </x:c>
      <x:c r="E8" s="5" t="str">
        <x:v>Assumed $200k limit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15" hidden="0" customHeight="1">
      <x:c r="A9" s="1"/>
      <x:c r="B9" s="1"/>
      <x:c r="C9" s="5" t="str">
        <x:v>Ending cash</x:v>
      </x:c>
      <x:c r="D9" s="18" t="n">
        <x:f>'Weekly'!AC27</x:f>
        <x:v>1160500.0000000005</x:v>
      </x:c>
      <x:c r="E9" s="5" t="str">
        <x:v>Week 26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15" hidden="0" customHeight="1">
      <x:c r="A10" s="1"/>
      <x:c r="B10" s="1"/>
      <x:c r="C10" s="5" t="str">
        <x:v>Open invoices beyond horizon</x:v>
      </x:c>
      <x:c r="D10" s="18" t="n">
        <x:f>SUMIFS('Invoices'!F7:F32,'Invoices'!H7:H32,"&gt;26")+SUMIFS('New Invoices'!E7:E32,'New Invoices'!F7:F32,"&gt;26")</x:f>
        <x:v>184000</x:v>
      </x:c>
      <x:c r="E10" s="5" t="str">
        <x:v>Carry-forward, not lost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15" hidden="0" customHeight="1">
      <x:c r="A11" s="1"/>
      <x:c r="B11" s="1"/>
      <x:c r="C11" s="5" t="str">
        <x:v>Capex beyond horizon</x:v>
      </x:c>
      <x:c r="D11" s="18" t="n">
        <x:f>IF('Assumptions'!D18&gt;26,'Assumptions'!G16,0)</x:f>
        <x:v>0</x:v>
      </x:c>
      <x:c r="E11" s="5" t="str">
        <x:v>Future obligation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6.399999618530273" hidden="0" customHeight="1">
      <x:c r="A12" s="1"/>
      <x:c r="B12" s="1"/>
      <x:c r="C12" s="5" t="str">
        <x:v>Opening overdue receivables</x:v>
      </x:c>
      <x:c r="D12" s="18" t="n">
        <x:f>SUMIFS('Invoices'!F7:F32,'Invoices'!G7:G32,1)</x:f>
        <x:v>194000</x:v>
      </x:c>
      <x:c r="E12" s="5" t="str">
        <x:v>Eligible collection queue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2" customHeight="1">
      <x:c r="A13" s="1"/>
      <x:c r="B13" s="1"/>
      <x:c r="C13" s="1" t="str">
        <x:v>Residual funding shortfall</x:v>
      </x:c>
      <x:c r="D13" s="46" t="n">
        <x:f>MAX('Weekly'!D29:AC29)</x:f>
        <x:v>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2" customHeight="1">
      <x:c r="A14" s="1"/>
      <x:c r="B14" s="1"/>
      <x:c r="C14" s="1" t="str">
        <x:v>Unfunded minimum cash</x:v>
      </x:c>
      <x:c r="D14" s="46" t="n">
        <x:f>MIN('Weekly'!D30:AC30)</x:f>
        <x:v>179000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5" hidden="0" customHeight="1">
      <x:c r="A16" s="1"/>
      <x:c r="B16" s="1"/>
      <x:c r="C16" s="14" t="str">
        <x:v>Week</x:v>
      </x:c>
      <x:c r="D16" s="14" t="str">
        <x:v>Funded cash</x:v>
      </x:c>
      <x:c r="E16" s="14" t="str">
        <x:v>Minimum floor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5" hidden="0" customHeight="1">
      <x:c r="A17" s="1"/>
      <x:c r="B17" s="1"/>
      <x:c r="C17" s="5" t="str">
        <x:v>W1</x:v>
      </x:c>
      <x:c r="D17" s="18" t="n">
        <x:f>'Weekly'!D27</x:f>
        <x:v>178980.76923076922</x:v>
      </x:c>
      <x:c r="E17" s="18" t="n">
        <x:f>'Weekly'!D28</x:f>
        <x:v>100000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5" hidden="0" customHeight="1">
      <x:c r="A18" s="1"/>
      <x:c r="B18" s="1"/>
      <x:c r="C18" s="5" t="str">
        <x:v>W2</x:v>
      </x:c>
      <x:c r="D18" s="18" t="n">
        <x:f>'Weekly'!E27</x:f>
        <x:v>189961.53846153844</x:v>
      </x:c>
      <x:c r="E18" s="18" t="n">
        <x:f>'Weekly'!E28</x:f>
        <x:v>100000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5" hidden="0" customHeight="1">
      <x:c r="A19" s="1"/>
      <x:c r="B19" s="1"/>
      <x:c r="C19" s="5" t="str">
        <x:v>W3</x:v>
      </x:c>
      <x:c r="D19" s="18" t="n">
        <x:f>'Weekly'!F27</x:f>
        <x:v>280942.3076923077</x:v>
      </x:c>
      <x:c r="E19" s="18" t="n">
        <x:f>'Weekly'!F28</x:f>
        <x:v>100000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5" hidden="0" customHeight="1">
      <x:c r="A20" s="1"/>
      <x:c r="B20" s="1"/>
      <x:c r="C20" s="5" t="str">
        <x:v>W4</x:v>
      </x:c>
      <x:c r="D20" s="18" t="n">
        <x:f>'Weekly'!G27</x:f>
        <x:v>383923.07692307694</x:v>
      </x:c>
      <x:c r="E20" s="18" t="n">
        <x:f>'Weekly'!G28</x:f>
        <x:v>100000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5" hidden="0" customHeight="1">
      <x:c r="A21" s="1"/>
      <x:c r="B21" s="1"/>
      <x:c r="C21" s="5" t="str">
        <x:v>W5</x:v>
      </x:c>
      <x:c r="D21" s="18" t="n">
        <x:f>'Weekly'!H27</x:f>
        <x:v>474903.8461538462</x:v>
      </x:c>
      <x:c r="E21" s="18" t="n">
        <x:f>'Weekly'!H28</x:f>
        <x:v>100000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5" hidden="0" customHeight="1">
      <x:c r="A22" s="1"/>
      <x:c r="B22" s="1"/>
      <x:c r="C22" s="5" t="str">
        <x:v>W6</x:v>
      </x:c>
      <x:c r="D22" s="18" t="n">
        <x:f>'Weekly'!I27</x:f>
        <x:v>487884.61538461543</x:v>
      </x:c>
      <x:c r="E22" s="18" t="n">
        <x:f>'Weekly'!I28</x:f>
        <x:v>100000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5" hidden="0" customHeight="1">
      <x:c r="A23" s="1"/>
      <x:c r="B23" s="1"/>
      <x:c r="C23" s="5" t="str">
        <x:v>W7</x:v>
      </x:c>
      <x:c r="D23" s="18" t="n">
        <x:f>'Weekly'!J27</x:f>
        <x:v>578865.3846153847</x:v>
      </x:c>
      <x:c r="E23" s="18" t="n">
        <x:f>'Weekly'!J28</x:f>
        <x:v>100000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5" hidden="0" customHeight="1">
      <x:c r="A24" s="1"/>
      <x:c r="B24" s="1"/>
      <x:c r="C24" s="5" t="str">
        <x:v>W8</x:v>
      </x:c>
      <x:c r="D24" s="18" t="n">
        <x:f>'Weekly'!K27</x:f>
        <x:v>681846.153846154</x:v>
      </x:c>
      <x:c r="E24" s="18" t="n">
        <x:f>'Weekly'!K28</x:f>
        <x:v>100000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5" hidden="0" customHeight="1">
      <x:c r="A25" s="1"/>
      <x:c r="B25" s="1"/>
      <x:c r="C25" s="5" t="str">
        <x:v>W9</x:v>
      </x:c>
      <x:c r="D25" s="18" t="n">
        <x:f>'Weekly'!L27</x:f>
        <x:v>772826.9230769232</x:v>
      </x:c>
      <x:c r="E25" s="18" t="n">
        <x:f>'Weekly'!L28</x:f>
        <x:v>100000</x:v>
      </x:c>
      <x:c r="F25" s="1"/>
      <x:c r="G25" s="1"/>
      <x:c r="H25" s="5" t="str">
        <x:v>Facility terms are hypothetical. Deferred capex is paid in week 14.</x:v>
      </x:c>
      <x:c r="I25" s="5"/>
      <x:c r="J25" s="5"/>
      <x:c r="K25" s="5"/>
      <x:c r="L25" s="5"/>
      <x:c r="M25" s="5"/>
      <x:c r="N25" s="5"/>
      <x:c r="O25" s="5"/>
    </x:row>
    <x:row r="26" ht="15" hidden="0" customHeight="1">
      <x:c r="A26" s="1"/>
      <x:c r="B26" s="1"/>
      <x:c r="C26" s="5" t="str">
        <x:v>W10</x:v>
      </x:c>
      <x:c r="D26" s="18" t="n">
        <x:f>'Weekly'!M27</x:f>
        <x:v>875807.6923076925</x:v>
      </x:c>
      <x:c r="E26" s="18" t="n">
        <x:f>'Weekly'!M28</x:f>
        <x:v>100000</x:v>
      </x:c>
      <x:c r="F26" s="1"/>
      <x:c r="G26" s="1"/>
      <x:c r="H26" s="5"/>
      <x:c r="I26" s="5"/>
      <x:c r="J26" s="5"/>
      <x:c r="K26" s="5"/>
      <x:c r="L26" s="5"/>
      <x:c r="M26" s="5"/>
      <x:c r="N26" s="5"/>
      <x:c r="O26" s="5"/>
    </x:row>
    <x:row r="27" ht="15" hidden="0" customHeight="1">
      <x:c r="A27" s="1"/>
      <x:c r="B27" s="1"/>
      <x:c r="C27" s="5" t="str">
        <x:v>W11</x:v>
      </x:c>
      <x:c r="D27" s="18" t="n">
        <x:f>'Weekly'!N27</x:f>
        <x:v>966788.4615384617</x:v>
      </x:c>
      <x:c r="E27" s="18" t="n">
        <x:f>'Weekly'!N28</x:f>
        <x:v>100000</x:v>
      </x:c>
      <x:c r="F27" s="1"/>
      <x:c r="G27" s="1"/>
      <x:c r="H27" s="5"/>
      <x:c r="I27" s="5"/>
      <x:c r="J27" s="5"/>
      <x:c r="K27" s="5"/>
      <x:c r="L27" s="5"/>
      <x:c r="M27" s="5"/>
      <x:c r="N27" s="5"/>
      <x:c r="O27" s="5"/>
    </x:row>
    <x:row r="28" ht="15" hidden="0" customHeight="1">
      <x:c r="A28" s="1"/>
      <x:c r="B28" s="1"/>
      <x:c r="C28" s="5" t="str">
        <x:v>W12</x:v>
      </x:c>
      <x:c r="D28" s="18" t="n">
        <x:f>'Weekly'!O27</x:f>
        <x:v>1069769.230769231</x:v>
      </x:c>
      <x:c r="E28" s="18" t="n">
        <x:f>'Weekly'!O28</x:f>
        <x:v>100000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15" hidden="0" customHeight="1">
      <x:c r="A29" s="1"/>
      <x:c r="B29" s="1"/>
      <x:c r="C29" s="5" t="str">
        <x:v>W13</x:v>
      </x:c>
      <x:c r="D29" s="18" t="n">
        <x:f>'Weekly'!P27</x:f>
        <x:v>1160750.0000000002</x:v>
      </x:c>
      <x:c r="E29" s="18" t="n">
        <x:f>'Weekly'!P28</x:f>
        <x:v>100000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2" customHeight="1">
      <x:c r="A30" s="1"/>
      <x:c r="B30" s="1"/>
      <x:c r="C30" s="1" t="str">
        <x:v>W14</x:v>
      </x:c>
      <x:c r="D30" s="46" t="n">
        <x:f>'Weekly'!Q27</x:f>
        <x:v>1160730.7692307695</x:v>
      </x:c>
      <x:c r="E30" s="46" t="n">
        <x:f>'Weekly'!Q28</x:f>
        <x:v>100000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2" customHeight="1">
      <x:c r="A31" s="1"/>
      <x:c r="B31" s="1"/>
      <x:c r="C31" s="1" t="str">
        <x:v>W15</x:v>
      </x:c>
      <x:c r="D31" s="46" t="n">
        <x:f>'Weekly'!R27</x:f>
        <x:v>1160711.5384615387</x:v>
      </x:c>
      <x:c r="E31" s="46" t="n">
        <x:f>'Weekly'!R28</x:f>
        <x:v>100000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2" customHeight="1">
      <x:c r="A32" s="1"/>
      <x:c r="B32" s="1"/>
      <x:c r="C32" s="1" t="str">
        <x:v>W16</x:v>
      </x:c>
      <x:c r="D32" s="46" t="n">
        <x:f>'Weekly'!S27</x:f>
        <x:v>1160692.307692308</x:v>
      </x:c>
      <x:c r="E32" s="46" t="n">
        <x:f>'Weekly'!S28</x:f>
        <x:v>100000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2" customHeight="1">
      <x:c r="A33" s="1"/>
      <x:c r="B33" s="1"/>
      <x:c r="C33" s="1" t="str">
        <x:v>W17</x:v>
      </x:c>
      <x:c r="D33" s="46" t="n">
        <x:f>'Weekly'!T27</x:f>
        <x:v>1160673.0769230772</x:v>
      </x:c>
      <x:c r="E33" s="46" t="n">
        <x:f>'Weekly'!T28</x:f>
        <x:v>100000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2" customHeight="1">
      <x:c r="A34" s="1"/>
      <x:c r="B34" s="1"/>
      <x:c r="C34" s="1" t="str">
        <x:v>W18</x:v>
      </x:c>
      <x:c r="D34" s="46" t="n">
        <x:f>'Weekly'!U27</x:f>
        <x:v>1160653.8461538465</x:v>
      </x:c>
      <x:c r="E34" s="46" t="n">
        <x:f>'Weekly'!U28</x:f>
        <x:v>100000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2" customHeight="1">
      <x:c r="A35" s="1"/>
      <x:c r="B35" s="1"/>
      <x:c r="C35" s="1" t="str">
        <x:v>W19</x:v>
      </x:c>
      <x:c r="D35" s="46" t="n">
        <x:f>'Weekly'!V27</x:f>
        <x:v>1160634.6153846157</x:v>
      </x:c>
      <x:c r="E35" s="46" t="n">
        <x:f>'Weekly'!V28</x:f>
        <x:v>100000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2" customHeight="1">
      <x:c r="A36" s="1"/>
      <x:c r="B36" s="1"/>
      <x:c r="C36" s="1" t="str">
        <x:v>W20</x:v>
      </x:c>
      <x:c r="D36" s="46" t="n">
        <x:f>'Weekly'!W27</x:f>
        <x:v>1160615.384615385</x:v>
      </x:c>
      <x:c r="E36" s="46" t="n">
        <x:f>'Weekly'!W28</x:f>
        <x:v>100000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 t="str">
        <x:v>W21</x:v>
      </x:c>
      <x:c r="D37" s="46" t="n">
        <x:f>'Weekly'!X27</x:f>
        <x:v>1160596.1538461542</x:v>
      </x:c>
      <x:c r="E37" s="46" t="n">
        <x:f>'Weekly'!X28</x:f>
        <x:v>100000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1"/>
      <x:c r="B38" s="1"/>
      <x:c r="C38" s="1" t="str">
        <x:v>W22</x:v>
      </x:c>
      <x:c r="D38" s="46" t="n">
        <x:f>'Weekly'!Y27</x:f>
        <x:v>1160576.9230769235</x:v>
      </x:c>
      <x:c r="E38" s="46" t="n">
        <x:f>'Weekly'!Y28</x:f>
        <x:v>100000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 t="str">
        <x:v>W23</x:v>
      </x:c>
      <x:c r="D39" s="46" t="n">
        <x:f>'Weekly'!Z27</x:f>
        <x:v>1160557.6923076927</x:v>
      </x:c>
      <x:c r="E39" s="46" t="n">
        <x:f>'Weekly'!Z28</x:f>
        <x:v>100000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2" customHeight="1">
      <x:c r="A40" s="1"/>
      <x:c r="B40" s="1"/>
      <x:c r="C40" s="1" t="str">
        <x:v>W24</x:v>
      </x:c>
      <x:c r="D40" s="46" t="n">
        <x:f>'Weekly'!AA27</x:f>
        <x:v>1160538.461538462</x:v>
      </x:c>
      <x:c r="E40" s="46" t="n">
        <x:f>'Weekly'!AA28</x:f>
        <x:v>100000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2" customHeight="1">
      <x:c r="A41" s="1"/>
      <x:c r="B41" s="1"/>
      <x:c r="C41" s="1" t="str">
        <x:v>W25</x:v>
      </x:c>
      <x:c r="D41" s="46" t="n">
        <x:f>'Weekly'!AB27</x:f>
        <x:v>1160519.2307692312</x:v>
      </x:c>
      <x:c r="E41" s="46" t="n">
        <x:f>'Weekly'!AB28</x:f>
        <x:v>100000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2" customHeight="1">
      <x:c r="A42" s="1"/>
      <x:c r="B42" s="1"/>
      <x:c r="C42" s="1" t="str">
        <x:v>W26</x:v>
      </x:c>
      <x:c r="D42" s="46" t="n">
        <x:f>'Weekly'!AC27</x:f>
        <x:v>1160500.0000000005</x:v>
      </x:c>
      <x:c r="E42" s="46" t="n">
        <x:f>'Weekly'!AC28</x:f>
        <x:v>100000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D4:F4"/>
    <x:mergeCell ref="H25:O27"/>
  </x:mergeCells>
  <x:pageMargins left="0.7" right="0.7" top="0.75" bottom="0.75" header="0.3" footer="0.3"/>
  <x:drawing xmlns:r="http://schemas.openxmlformats.org/officeDocument/2006/relationships" r:id="R20a77f0a0b0d49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32" hidden="0" customWidth="1"/>
    <x:col min="7" max="7" width="32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timing assumptions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6" t="str">
        <x:f>CHOOSE(D5,"Base","Delayed receipts","Mitigation")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 t="str">
        <x:v>Case selected</x:v>
      </x:c>
      <x:c r="D5" s="4" t="n">
        <x:v>1</x:v>
      </x:c>
      <x:c r="E5" s="1"/>
      <x:c r="F5" s="5" t="str">
        <x:v>1 Base / 2 Delayed receipts / 3 Mitigation</x:v>
      </x:c>
      <x:c r="G5" s="5"/>
      <x:c r="H5" s="5"/>
      <x:c r="I5" s="5"/>
      <x:c r="J5" s="5"/>
      <x:c r="K5" s="5"/>
      <x:c r="L5" s="1"/>
    </x:row>
    <x:row r="6" ht="22" customHeight="1">
      <x:c r="A6" s="1"/>
      <x:c r="B6" s="1"/>
      <x:c r="C6" s="1"/>
      <x:c r="D6" s="1"/>
      <x:c r="E6" s="1"/>
      <x:c r="F6" s="5"/>
      <x:c r="G6" s="5"/>
      <x:c r="H6" s="5"/>
      <x:c r="I6" s="5"/>
      <x:c r="J6" s="5"/>
      <x:c r="K6" s="5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5" hidden="0" customHeight="1">
      <x:c r="A8" s="1"/>
      <x:c r="B8" s="1"/>
      <x:c r="C8" s="10" t="str">
        <x:v>Receipt delay (weeks) (active)</x:v>
      </x:c>
      <x:c r="D8" s="11" t="n">
        <x:f>IF(ISNUMBER(CHOOSE($D$5,D9,D10,D11)),CHOOSE($D$5,D9,D10,D11),NA())</x:f>
        <x:v>0</x:v>
      </x:c>
      <x:c r="E8" s="1"/>
      <x:c r="F8" s="14" t="str">
        <x:v>Input</x:v>
      </x:c>
      <x:c r="G8" s="14" t="str">
        <x:v>Value</x:v>
      </x:c>
      <x:c r="H8" s="14" t="str">
        <x:v>Basis</x:v>
      </x:c>
      <x:c r="I8" s="1"/>
      <x:c r="J8" s="1"/>
      <x:c r="K8" s="1"/>
      <x:c r="L8" s="1"/>
    </x:row>
    <x:row r="9" ht="26.399999618530273" hidden="0" customHeight="1">
      <x:c r="A9" s="1"/>
      <x:c r="B9" s="1"/>
      <x:c r="C9" s="1" t="str">
        <x:v>Base</x:v>
      </x:c>
      <x:c r="D9" s="9" t="n">
        <x:v>0</x:v>
      </x:c>
      <x:c r="E9" s="1"/>
      <x:c r="F9" s="5" t="str">
        <x:v>Opening cash</x:v>
      </x:c>
      <x:c r="G9" s="31" t="n">
        <x:v>180000</x:v>
      </x:c>
      <x:c r="H9" s="5" t="str">
        <x:v>Synthetic opening bank balance</x:v>
      </x:c>
      <x:c r="I9" s="1"/>
      <x:c r="J9" s="1"/>
      <x:c r="K9" s="1"/>
      <x:c r="L9" s="1"/>
    </x:row>
    <x:row r="10" ht="15" hidden="0" customHeight="1">
      <x:c r="A10" s="1"/>
      <x:c r="B10" s="1"/>
      <x:c r="C10" s="1" t="str">
        <x:v>Delayed receipts</x:v>
      </x:c>
      <x:c r="D10" s="9" t="n">
        <x:v>2</x:v>
      </x:c>
      <x:c r="E10" s="1"/>
      <x:c r="F10" s="5" t="str">
        <x:v>Minimum cash</x:v>
      </x:c>
      <x:c r="G10" s="31" t="n">
        <x:v>100000</x:v>
      </x:c>
      <x:c r="H10" s="5" t="str">
        <x:v>Management floor</x:v>
      </x:c>
      <x:c r="I10" s="1"/>
      <x:c r="J10" s="1"/>
      <x:c r="K10" s="1"/>
      <x:c r="L10" s="1"/>
    </x:row>
    <x:row r="11" ht="26.399999618530273" hidden="0" customHeight="1">
      <x:c r="A11" s="1"/>
      <x:c r="B11" s="1"/>
      <x:c r="C11" s="1" t="str">
        <x:v>Mitigation</x:v>
      </x:c>
      <x:c r="D11" s="9" t="n">
        <x:v>2</x:v>
      </x:c>
      <x:c r="E11" s="1"/>
      <x:c r="F11" s="5" t="str">
        <x:v>Weekly direct cash sales</x:v>
      </x:c>
      <x:c r="G11" s="31" t="n">
        <x:v>20000</x:v>
      </x:c>
      <x:c r="H11" s="5" t="str">
        <x:v>Excludes open invoice receipts</x:v>
      </x:c>
      <x:c r="I11" s="1"/>
      <x:c r="J11" s="1"/>
      <x:c r="K11" s="1"/>
      <x:c r="L11" s="1"/>
    </x:row>
    <x:row r="12" ht="15" hidden="0" customHeight="1">
      <x:c r="A12" s="1"/>
      <x:c r="B12" s="1"/>
      <x:c r="C12" s="1"/>
      <x:c r="D12" s="1"/>
      <x:c r="E12" s="1"/>
      <x:c r="F12" s="5" t="str">
        <x:v>Weekly payroll</x:v>
      </x:c>
      <x:c r="G12" s="31" t="n">
        <x:v>45000</x:v>
      </x:c>
      <x:c r="H12" s="5" t="str">
        <x:v>Cash payments</x:v>
      </x:c>
      <x:c r="I12" s="1"/>
      <x:c r="J12" s="1"/>
      <x:c r="K12" s="1"/>
      <x:c r="L12" s="1"/>
    </x:row>
    <x:row r="13" ht="15" hidden="0" customHeight="1">
      <x:c r="A13" s="1"/>
      <x:c r="B13" s="1"/>
      <x:c r="C13" s="10" t="str">
        <x:v>Eligible acceleration (weeks) (active)</x:v>
      </x:c>
      <x:c r="D13" s="11" t="n">
        <x:f>IF(ISNUMBER(CHOOSE($D$5,D14,D15,D16)),CHOOSE($D$5,D14,D15,D16),NA())</x:f>
        <x:v>0</x:v>
      </x:c>
      <x:c r="E13" s="1"/>
      <x:c r="F13" s="5" t="str">
        <x:v>Weekly fuel</x:v>
      </x:c>
      <x:c r="G13" s="31" t="n">
        <x:v>20000</x:v>
      </x:c>
      <x:c r="H13" s="5" t="str">
        <x:v>Cash payments</x:v>
      </x:c>
      <x:c r="I13" s="1"/>
      <x:c r="J13" s="1"/>
      <x:c r="K13" s="1"/>
      <x:c r="L13" s="1"/>
    </x:row>
    <x:row r="14" ht="15" hidden="0" customHeight="1">
      <x:c r="A14" s="1"/>
      <x:c r="B14" s="1"/>
      <x:c r="C14" s="1" t="str">
        <x:v>Base</x:v>
      </x:c>
      <x:c r="D14" s="9" t="n">
        <x:v>0</x:v>
      </x:c>
      <x:c r="E14" s="1"/>
      <x:c r="F14" s="5" t="str">
        <x:v>Weekly supplier AP</x:v>
      </x:c>
      <x:c r="G14" s="31" t="n">
        <x:v>35000</x:v>
      </x:c>
      <x:c r="H14" s="5" t="str">
        <x:v>Cash payments</x:v>
      </x:c>
      <x:c r="I14" s="1"/>
      <x:c r="J14" s="1"/>
      <x:c r="K14" s="1"/>
      <x:c r="L14" s="1"/>
    </x:row>
    <x:row r="15" ht="26.399999618530273" hidden="0" customHeight="1">
      <x:c r="A15" s="1"/>
      <x:c r="B15" s="1"/>
      <x:c r="C15" s="1" t="str">
        <x:v>Delayed receipts</x:v>
      </x:c>
      <x:c r="D15" s="9" t="n">
        <x:v>0</x:v>
      </x:c>
      <x:c r="E15" s="1"/>
      <x:c r="F15" s="5" t="str">
        <x:v>Weekly lease payments</x:v>
      </x:c>
      <x:c r="G15" s="31" t="n">
        <x:v>12000</x:v>
      </x:c>
      <x:c r="H15" s="5" t="str">
        <x:v>Cash payments</x:v>
      </x:c>
      <x:c r="I15" s="1"/>
      <x:c r="J15" s="1"/>
      <x:c r="K15" s="1"/>
      <x:c r="L15" s="1"/>
    </x:row>
    <x:row r="16" ht="26.399999618530273" hidden="0" customHeight="1">
      <x:c r="A16" s="1"/>
      <x:c r="B16" s="1"/>
      <x:c r="C16" s="1" t="str">
        <x:v>Mitigation</x:v>
      </x:c>
      <x:c r="D16" s="9" t="n">
        <x:v>2</x:v>
      </x:c>
      <x:c r="E16" s="1"/>
      <x:c r="F16" s="5" t="str">
        <x:v>One-time capex</x:v>
      </x:c>
      <x:c r="G16" s="31" t="n">
        <x:v>90000</x:v>
      </x:c>
      <x:c r="H16" s="5" t="str">
        <x:v>Deferred to week 14 in action case</x:v>
      </x:c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0" t="str">
        <x:v>Capex week (active)</x:v>
      </x:c>
      <x:c r="D18" s="11" t="n">
        <x:f>IF(ISNUMBER(CHOOSE($D$5,D19,D20,D21)),CHOOSE($D$5,D19,D20,D21),NA())</x:f>
        <x:v>6</x:v>
      </x:c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 t="str">
        <x:v>Base</x:v>
      </x:c>
      <x:c r="D19" s="9" t="n">
        <x:v>6</x:v>
      </x:c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 t="str">
        <x:v>Delayed receipts</x:v>
      </x:c>
      <x:c r="D20" s="9" t="n">
        <x:v>6</x:v>
      </x:c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 t="str">
        <x:v>Mitigation</x:v>
      </x:c>
      <x:c r="D21" s="9" t="n">
        <x:v>14</x:v>
      </x:c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5" t="str">
        <x:v>Week 1 starts 5-Oct-2026. Facility availability is a hypothetical input.</x:v>
      </x:c>
      <x:c r="D25" s="5"/>
      <x:c r="E25" s="5"/>
      <x:c r="F25" s="5"/>
      <x:c r="G25" s="5"/>
      <x:c r="H25" s="5"/>
      <x:c r="I25" s="5"/>
      <x:c r="J25" s="5"/>
      <x:c r="K25" s="5"/>
      <x:c r="L25" s="1"/>
    </x:row>
    <x:row r="26" ht="22" customHeight="1">
      <x:c r="A26" s="1"/>
      <x:c r="B26" s="1"/>
      <x:c r="C26" s="5"/>
      <x:c r="D26" s="5"/>
      <x:c r="E26" s="5"/>
      <x:c r="F26" s="5"/>
      <x:c r="G26" s="5"/>
      <x:c r="H26" s="5"/>
      <x:c r="I26" s="5"/>
      <x:c r="J26" s="5"/>
      <x:c r="K26" s="5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5" t="str">
        <x:v>Action changes timing only. Deferred capex remains a week-14 obligation.</x:v>
      </x:c>
      <x:c r="D28" s="5"/>
      <x:c r="E28" s="5"/>
      <x:c r="F28" s="5"/>
      <x:c r="G28" s="5"/>
      <x:c r="H28" s="5"/>
      <x:c r="I28" s="5"/>
      <x:c r="J28" s="5"/>
      <x:c r="K28" s="5"/>
      <x:c r="L28" s="1"/>
    </x:row>
    <x:row r="29" ht="22" customHeight="1">
      <x:c r="A29" s="1"/>
      <x:c r="B29" s="1"/>
      <x:c r="C29" s="5"/>
      <x:c r="D29" s="5"/>
      <x:c r="E29" s="5"/>
      <x:c r="F29" s="5"/>
      <x:c r="G29" s="5"/>
      <x:c r="H29" s="5"/>
      <x:c r="I29" s="5"/>
      <x:c r="J29" s="5"/>
      <x:c r="K29" s="5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5" hidden="0" customHeight="1">
      <x:c r="A34" s="1"/>
      <x:c r="B34" s="1"/>
      <x:c r="C34" s="1"/>
      <x:c r="D34" s="1"/>
      <x:c r="E34" s="1"/>
      <x:c r="F34" s="14" t="str">
        <x:v>Expanded driver</x:v>
      </x:c>
      <x:c r="G34" s="14" t="str">
        <x:v>Value</x:v>
      </x:c>
      <x:c r="H34" s="14" t="str">
        <x:v>Synthetic assumption</x:v>
      </x:c>
      <x:c r="I34" s="45" t="str">
        <x:v>Validated value</x:v>
      </x:c>
      <x:c r="J34" s="1"/>
      <x:c r="K34" s="1"/>
      <x:c r="L34" s="1"/>
    </x:row>
    <x:row r="35" ht="26.399999618530273" hidden="0" customHeight="1">
      <x:c r="A35" s="1"/>
      <x:c r="B35" s="1"/>
      <x:c r="C35" s="1"/>
      <x:c r="D35" s="1"/>
      <x:c r="E35" s="1"/>
      <x:c r="F35" s="5" t="str">
        <x:v>Facility limit</x:v>
      </x:c>
      <x:c r="G35" s="31" t="n">
        <x:v>200000</x:v>
      </x:c>
      <x:c r="H35" s="5" t="str">
        <x:v>Hypothetical undrawn revolver; not approved</x:v>
      </x:c>
      <x:c r="I35" s="29" t="n">
        <x:f>IF(AND(ISNUMBER(G35),G35&gt;=0),G35,NA())</x:f>
        <x:v>200000</x:v>
      </x:c>
      <x:c r="J35" s="1"/>
      <x:c r="K35" s="1"/>
      <x:c r="L35" s="1"/>
    </x:row>
    <x:row r="36" ht="15" hidden="0" customHeight="1">
      <x:c r="A36" s="1"/>
      <x:c r="B36" s="1"/>
      <x:c r="C36" s="1"/>
      <x:c r="D36" s="1"/>
      <x:c r="E36" s="1"/>
      <x:c r="F36" s="5" t="str">
        <x:v>Annual facility rate</x:v>
      </x:c>
      <x:c r="G36" s="41" t="n">
        <x:v>0.09</x:v>
      </x:c>
      <x:c r="H36" s="5" t="str">
        <x:v>Opening weekly debt basis</x:v>
      </x:c>
      <x:c r="I36" s="33" t="n">
        <x:f>IF(AND(ISNUMBER(G36),G36&gt;=0,G36&lt;=1),G36,NA())</x:f>
        <x:v>0.09</x:v>
      </x:c>
      <x:c r="J36" s="1"/>
      <x:c r="K36" s="1"/>
      <x:c r="L36" s="1"/>
    </x:row>
    <x:row r="37" ht="26.399999618530273" hidden="0" customHeight="1">
      <x:c r="A37" s="1"/>
      <x:c r="B37" s="1"/>
      <x:c r="C37" s="1"/>
      <x:c r="D37" s="1"/>
      <x:c r="E37" s="1"/>
      <x:c r="F37" s="5" t="str">
        <x:v>Commitment fee</x:v>
      </x:c>
      <x:c r="G37" s="41" t="n">
        <x:v>0.005</x:v>
      </x:c>
      <x:c r="H37" s="5" t="str">
        <x:v>Annual on unused opening commitment</x:v>
      </x:c>
      <x:c r="I37" s="33" t="n">
        <x:f>IF(AND(ISNUMBER(G37),G37&gt;=0,G37&lt;=1),G37,NA())</x:f>
        <x:v>0.005</x:v>
      </x:c>
      <x:c r="J37" s="1"/>
      <x:c r="K37" s="1"/>
      <x:c r="L37" s="1"/>
    </x:row>
    <x:row r="38" ht="15" hidden="0" customHeight="1">
      <x:c r="A38" s="1"/>
      <x:c r="B38" s="1"/>
      <x:c r="C38" s="1"/>
      <x:c r="D38" s="1"/>
      <x:c r="E38" s="1"/>
      <x:c r="F38" s="5" t="str">
        <x:v>Opening facility debt</x:v>
      </x:c>
      <x:c r="G38" s="31" t="n">
        <x:v>0</x:v>
      </x:c>
      <x:c r="H38" s="5" t="str">
        <x:v>Week 1</x:v>
      </x:c>
      <x:c r="I38" s="29" t="n">
        <x:f>IF(AND(ISNUMBER(G38),G38&gt;=0,ISNUMBER(G35),G38&lt;=G35),G38,NA())</x:f>
        <x:v>0</x:v>
      </x:c>
      <x:c r="J38" s="1"/>
      <x:c r="K38" s="1"/>
      <x:c r="L38" s="1"/>
    </x:row>
    <x:row r="39" ht="26.399999618530273" hidden="0" customHeight="1">
      <x:c r="A39" s="1"/>
      <x:c r="B39" s="1"/>
      <x:c r="C39" s="1"/>
      <x:c r="D39" s="1"/>
      <x:c r="E39" s="1"/>
      <x:c r="F39" s="5" t="str">
        <x:v>Weekly credit billings</x:v>
      </x:c>
      <x:c r="G39" s="31" t="n">
        <x:v>92000</x:v>
      </x:c>
      <x:c r="H39" s="5" t="str">
        <x:v>Separate from opening AR and cash sales</x:v>
      </x:c>
      <x:c r="I39" s="29" t="n">
        <x:f>IF(AND(ISNUMBER(G39),G39&gt;=0),G39,NA())</x:f>
        <x:v>92000</x:v>
      </x:c>
      <x:c r="J39" s="1"/>
      <x:c r="K39" s="1"/>
      <x:c r="L39" s="1"/>
    </x:row>
    <x:row r="40" ht="15" hidden="0" customHeight="1">
      <x:c r="A40" s="1"/>
      <x:c r="B40" s="1"/>
      <x:c r="C40" s="1"/>
      <x:c r="D40" s="1"/>
      <x:c r="E40" s="1"/>
      <x:c r="F40" s="5" t="str">
        <x:v>Credit collection lag weeks</x:v>
      </x:c>
      <x:c r="G40" s="42" t="n">
        <x:v>2</x:v>
      </x:c>
      <x:c r="H40" s="5" t="str">
        <x:v>Active scenario adds receipt delay</x:v>
      </x:c>
      <x:c r="I40" s="8" t="n">
        <x:f>IF(AND(ISNUMBER(G40),G40&gt;=0,MOD(G40,1)=0),G40,NA())</x:f>
        <x:v>2</x:v>
      </x:c>
      <x:c r="J40" s="1"/>
      <x:c r="K40" s="1"/>
      <x:c r="L40" s="1"/>
    </x:row>
    <x:row r="41" ht="15" hidden="0" customHeight="1">
      <x:c r="A41" s="1"/>
      <x:c r="B41" s="1"/>
      <x:c r="C41" s="1"/>
      <x:c r="D41" s="1"/>
      <x:c r="E41" s="1"/>
      <x:c r="F41" s="5" t="str">
        <x:v>Forecast weeks</x:v>
      </x:c>
      <x:c r="G41" s="43" t="n">
        <x:f>26</x:f>
        <x:v>26</x:v>
      </x:c>
      <x:c r="H41" s="5" t="str">
        <x:v>Fixed 26-week build, not an editable horizon</x:v>
      </x:c>
      <x:c r="I41" s="8" t="n">
        <x:f>IF(AND(ISNUMBER(G41),G41&gt;=0),G41,NA())</x:f>
        <x:v>26</x:v>
      </x:c>
      <x:c r="J41" s="1"/>
      <x:c r="K41" s="1"/>
      <x:c r="L41" s="1"/>
    </x:row>
    <x:row r="42" ht="15" hidden="0" customHeight="1">
      <x:c r="A42" s="1"/>
      <x:c r="B42" s="1"/>
      <x:c r="C42" s="1"/>
      <x:c r="D42" s="1"/>
      <x:c r="E42" s="1"/>
      <x:c r="F42" s="5" t="str">
        <x:v>Auto-repayment</x:v>
      </x:c>
      <x:c r="G42" s="42" t="n">
        <x:v>1</x:v>
      </x:c>
      <x:c r="H42" s="5" t="str">
        <x:v>Repay excess above floor</x:v>
      </x:c>
      <x:c r="I42" s="8" t="n">
        <x:f>IF(AND(ISNUMBER(G42),G42&gt;=0,G42&lt;=1,MOD(G42,1)=0),G42,NA())</x:f>
        <x:v>1</x:v>
      </x:c>
      <x:c r="J42" s="1"/>
      <x:c r="K42" s="1"/>
      <x:c r="L42" s="1"/>
    </x:row>
    <x:row r="43" ht="15" hidden="0" customHeight="1">
      <x:c r="A43" s="1"/>
      <x:c r="B43" s="1"/>
      <x:c r="C43" s="1"/>
      <x:c r="D43" s="1"/>
      <x:c r="E43" s="1"/>
      <x:c r="F43" s="5" t="str">
        <x:v>Cash floor (linked)</x:v>
      </x:c>
      <x:c r="G43" s="32" t="n">
        <x:f>G10</x:f>
        <x:v>100000</x:v>
      </x:c>
      <x:c r="H43" s="5" t="str">
        <x:v>Linked to the minimum cash input above</x:v>
      </x:c>
      <x:c r="I43" s="29" t="n">
        <x:f>IF(AND(ISNUMBER(G43),G43&gt;=0),G43,NA())</x:f>
        <x:v>100000</x:v>
      </x:c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F5:K6"/>
    <x:mergeCell ref="C25:K26"/>
    <x:mergeCell ref="C28:K29"/>
  </x:mergeCells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/>
      <x:c r="B2" s="1"/>
      <x:c r="C2" s="2" t="str">
        <x:v>Weekly cash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1"/>
      <x:c r="B5" s="1"/>
      <x:c r="C5" s="1"/>
      <x:c r="D5" s="4" t="n">
        <x:v>1</x:v>
      </x:c>
      <x:c r="E5" s="4" t="n">
        <x:v>2</x:v>
      </x:c>
      <x:c r="F5" s="4" t="n">
        <x:v>3</x:v>
      </x:c>
      <x:c r="G5" s="4" t="n">
        <x:v>4</x:v>
      </x:c>
      <x:c r="H5" s="4" t="n">
        <x:v>5</x:v>
      </x:c>
      <x:c r="I5" s="4" t="n">
        <x:v>6</x:v>
      </x:c>
      <x:c r="J5" s="4" t="n">
        <x:v>7</x:v>
      </x:c>
      <x:c r="K5" s="4" t="n">
        <x:v>8</x:v>
      </x:c>
      <x:c r="L5" s="4" t="n">
        <x:v>9</x:v>
      </x:c>
      <x:c r="M5" s="4" t="n">
        <x:v>10</x:v>
      </x:c>
      <x:c r="N5" s="4" t="n">
        <x:v>11</x:v>
      </x:c>
      <x:c r="O5" s="4" t="n">
        <x:v>12</x:v>
      </x:c>
      <x:c r="P5" s="4" t="n">
        <x:v>13</x:v>
      </x:c>
      <x:c r="Q5" s="34" t="n">
        <x:v>14</x:v>
      </x:c>
      <x:c r="R5" s="34" t="n">
        <x:v>15</x:v>
      </x:c>
      <x:c r="S5" s="34" t="n">
        <x:v>16</x:v>
      </x:c>
      <x:c r="T5" s="34" t="n">
        <x:v>17</x:v>
      </x:c>
      <x:c r="U5" s="34" t="n">
        <x:v>18</x:v>
      </x:c>
      <x:c r="V5" s="34" t="n">
        <x:v>19</x:v>
      </x:c>
      <x:c r="W5" s="34" t="n">
        <x:v>20</x:v>
      </x:c>
      <x:c r="X5" s="34" t="n">
        <x:v>21</x:v>
      </x:c>
      <x:c r="Y5" s="34" t="n">
        <x:v>22</x:v>
      </x:c>
      <x:c r="Z5" s="34" t="n">
        <x:v>23</x:v>
      </x:c>
      <x:c r="AA5" s="34" t="n">
        <x:v>24</x:v>
      </x:c>
      <x:c r="AB5" s="34" t="n">
        <x:v>25</x:v>
      </x:c>
      <x:c r="AC5" s="34" t="n">
        <x:v>26</x:v>
      </x:c>
    </x:row>
    <x:row r="6" ht="22" customHeight="1">
      <x:c r="A6" s="1"/>
      <x:c r="B6" s="1"/>
      <x:c r="C6" s="1"/>
      <x:c r="D6" s="27" t="d">
        <x:v>2026-10-05T00:00:00.000Z</x:v>
      </x:c>
      <x:c r="E6" s="27" t="d">
        <x:v>2026-10-12T00:00:00.000Z</x:v>
      </x:c>
      <x:c r="F6" s="27" t="d">
        <x:v>2026-10-19T00:00:00.000Z</x:v>
      </x:c>
      <x:c r="G6" s="27" t="d">
        <x:v>2026-10-26T00:00:00.000Z</x:v>
      </x:c>
      <x:c r="H6" s="27" t="d">
        <x:v>2026-11-02T00:00:00.000Z</x:v>
      </x:c>
      <x:c r="I6" s="27" t="d">
        <x:v>2026-11-09T00:00:00.000Z</x:v>
      </x:c>
      <x:c r="J6" s="27" t="d">
        <x:v>2026-11-16T00:00:00.000Z</x:v>
      </x:c>
      <x:c r="K6" s="27" t="d">
        <x:v>2026-11-23T00:00:00.000Z</x:v>
      </x:c>
      <x:c r="L6" s="27" t="d">
        <x:v>2026-11-30T00:00:00.000Z</x:v>
      </x:c>
      <x:c r="M6" s="27" t="d">
        <x:v>2026-12-07T00:00:00.000Z</x:v>
      </x:c>
      <x:c r="N6" s="27" t="d">
        <x:v>2026-12-14T00:00:00.000Z</x:v>
      </x:c>
      <x:c r="O6" s="27" t="d">
        <x:v>2026-12-21T00:00:00.000Z</x:v>
      </x:c>
      <x:c r="P6" s="27" t="d">
        <x:v>2026-12-28T00:00:00.000Z</x:v>
      </x:c>
      <x:c r="Q6" s="35" t="d">
        <x:v>2027-01-04T00:00:00.000Z</x:v>
      </x:c>
      <x:c r="R6" s="35" t="d">
        <x:v>2027-01-11T00:00:00.000Z</x:v>
      </x:c>
      <x:c r="S6" s="35" t="d">
        <x:v>2027-01-18T00:00:00.000Z</x:v>
      </x:c>
      <x:c r="T6" s="35" t="d">
        <x:v>2027-01-25T00:00:00.000Z</x:v>
      </x:c>
      <x:c r="U6" s="35" t="d">
        <x:v>2027-02-01T00:00:00.000Z</x:v>
      </x:c>
      <x:c r="V6" s="35" t="d">
        <x:v>2027-02-08T00:00:00.000Z</x:v>
      </x:c>
      <x:c r="W6" s="35" t="d">
        <x:v>2027-02-15T00:00:00.000Z</x:v>
      </x:c>
      <x:c r="X6" s="35" t="d">
        <x:v>2027-02-22T00:00:00.000Z</x:v>
      </x:c>
      <x:c r="Y6" s="35" t="d">
        <x:v>2027-03-01T00:00:00.000Z</x:v>
      </x:c>
      <x:c r="Z6" s="35" t="d">
        <x:v>2027-03-08T00:00:00.000Z</x:v>
      </x:c>
      <x:c r="AA6" s="35" t="d">
        <x:v>2027-03-15T00:00:00.000Z</x:v>
      </x:c>
      <x:c r="AB6" s="35" t="d">
        <x:v>2027-03-22T00:00:00.000Z</x:v>
      </x:c>
      <x:c r="AC6" s="35" t="d">
        <x:v>2027-03-29T00:00:00.000Z</x:v>
      </x:c>
    </x:row>
    <x:row r="7" ht="22" customHeight="1">
      <x:c r="A7" s="1"/>
      <x:c r="B7" s="1"/>
      <x:c r="C7" s="1" t="str">
        <x:v>Opening funded cash</x:v>
      </x:c>
      <x:c r="D7" s="28" t="n">
        <x:f>'Assumptions'!G9</x:f>
        <x:v>180000</x:v>
      </x:c>
      <x:c r="E7" s="29" t="n">
        <x:f>D27</x:f>
        <x:v>178980.76923076922</x:v>
      </x:c>
      <x:c r="F7" s="29" t="n">
        <x:f>E27</x:f>
        <x:v>189961.53846153844</x:v>
      </x:c>
      <x:c r="G7" s="29" t="n">
        <x:f>F27</x:f>
        <x:v>280942.3076923077</x:v>
      </x:c>
      <x:c r="H7" s="29" t="n">
        <x:f>G27</x:f>
        <x:v>383923.07692307694</x:v>
      </x:c>
      <x:c r="I7" s="29" t="n">
        <x:f>H27</x:f>
        <x:v>474903.8461538462</x:v>
      </x:c>
      <x:c r="J7" s="29" t="n">
        <x:f>I27</x:f>
        <x:v>487884.61538461543</x:v>
      </x:c>
      <x:c r="K7" s="29" t="n">
        <x:f>J27</x:f>
        <x:v>578865.3846153847</x:v>
      </x:c>
      <x:c r="L7" s="29" t="n">
        <x:f>K27</x:f>
        <x:v>681846.153846154</x:v>
      </x:c>
      <x:c r="M7" s="29" t="n">
        <x:f>L27</x:f>
        <x:v>772826.9230769232</x:v>
      </x:c>
      <x:c r="N7" s="29" t="n">
        <x:f>M27</x:f>
        <x:v>875807.6923076925</x:v>
      </x:c>
      <x:c r="O7" s="29" t="n">
        <x:f>N27</x:f>
        <x:v>966788.4615384617</x:v>
      </x:c>
      <x:c r="P7" s="29" t="n">
        <x:f>O27</x:f>
        <x:v>1069769.230769231</x:v>
      </x:c>
      <x:c r="Q7" s="37" t="n">
        <x:f>P27</x:f>
        <x:v>1160750.0000000002</x:v>
      </x:c>
      <x:c r="R7" s="37" t="n">
        <x:f>Q27</x:f>
        <x:v>1160730.7692307695</x:v>
      </x:c>
      <x:c r="S7" s="37" t="n">
        <x:f>R27</x:f>
        <x:v>1160711.5384615387</x:v>
      </x:c>
      <x:c r="T7" s="37" t="n">
        <x:f>S27</x:f>
        <x:v>1160692.307692308</x:v>
      </x:c>
      <x:c r="U7" s="37" t="n">
        <x:f>T27</x:f>
        <x:v>1160673.0769230772</x:v>
      </x:c>
      <x:c r="V7" s="37" t="n">
        <x:f>U27</x:f>
        <x:v>1160653.8461538465</x:v>
      </x:c>
      <x:c r="W7" s="37" t="n">
        <x:f>V27</x:f>
        <x:v>1160634.6153846157</x:v>
      </x:c>
      <x:c r="X7" s="37" t="n">
        <x:f>W27</x:f>
        <x:v>1160615.384615385</x:v>
      </x:c>
      <x:c r="Y7" s="37" t="n">
        <x:f>X27</x:f>
        <x:v>1160596.1538461542</x:v>
      </x:c>
      <x:c r="Z7" s="37" t="n">
        <x:f>Y27</x:f>
        <x:v>1160576.9230769235</x:v>
      </x:c>
      <x:c r="AA7" s="37" t="n">
        <x:f>Z27</x:f>
        <x:v>1160557.6923076927</x:v>
      </x:c>
      <x:c r="AB7" s="37" t="n">
        <x:f>AA27</x:f>
        <x:v>1160538.461538462</x:v>
      </x:c>
      <x:c r="AC7" s="37" t="n">
        <x:f>AB27</x:f>
        <x:v>1160519.2307692312</x:v>
      </x:c>
    </x:row>
    <x:row r="8" ht="22" customHeight="1">
      <x:c r="A8" s="1"/>
      <x:c r="B8" s="1"/>
      <x:c r="C8" s="1" t="str">
        <x:v>Opening invoice receipts</x:v>
      </x:c>
      <x:c r="D8" s="28" t="n">
        <x:f>SUMIFS('Invoices'!$F$7:$F$32,'Invoices'!$H$7:$H$32,D$5)</x:f>
        <x:v>91000</x:v>
      </x:c>
      <x:c r="E8" s="28" t="n">
        <x:f>SUMIFS('Invoices'!$F$7:$F$32,'Invoices'!$H$7:$H$32,E$5)</x:f>
        <x:v>103000</x:v>
      </x:c>
      <x:c r="F8" s="28" t="n">
        <x:f>SUMIFS('Invoices'!$F$7:$F$32,'Invoices'!$H$7:$H$32,F$5)</x:f>
        <x:v>91000</x:v>
      </x:c>
      <x:c r="G8" s="28" t="n">
        <x:f>SUMIFS('Invoices'!$F$7:$F$32,'Invoices'!$H$7:$H$32,G$5)</x:f>
        <x:v>103000</x:v>
      </x:c>
      <x:c r="H8" s="28" t="n">
        <x:f>SUMIFS('Invoices'!$F$7:$F$32,'Invoices'!$H$7:$H$32,H$5)</x:f>
        <x:v>91000</x:v>
      </x:c>
      <x:c r="I8" s="28" t="n">
        <x:f>SUMIFS('Invoices'!$F$7:$F$32,'Invoices'!$H$7:$H$32,I$5)</x:f>
        <x:v>103000</x:v>
      </x:c>
      <x:c r="J8" s="28" t="n">
        <x:f>SUMIFS('Invoices'!$F$7:$F$32,'Invoices'!$H$7:$H$32,J$5)</x:f>
        <x:v>91000</x:v>
      </x:c>
      <x:c r="K8" s="28" t="n">
        <x:f>SUMIFS('Invoices'!$F$7:$F$32,'Invoices'!$H$7:$H$32,K$5)</x:f>
        <x:v>103000</x:v>
      </x:c>
      <x:c r="L8" s="28" t="n">
        <x:f>SUMIFS('Invoices'!$F$7:$F$32,'Invoices'!$H$7:$H$32,L$5)</x:f>
        <x:v>91000</x:v>
      </x:c>
      <x:c r="M8" s="28" t="n">
        <x:f>SUMIFS('Invoices'!$F$7:$F$32,'Invoices'!$H$7:$H$32,M$5)</x:f>
        <x:v>103000</x:v>
      </x:c>
      <x:c r="N8" s="28" t="n">
        <x:f>SUMIFS('Invoices'!$F$7:$F$32,'Invoices'!$H$7:$H$32,N$5)</x:f>
        <x:v>91000</x:v>
      </x:c>
      <x:c r="O8" s="28" t="n">
        <x:f>SUMIFS('Invoices'!$F$7:$F$32,'Invoices'!$H$7:$H$32,O$5)</x:f>
        <x:v>103000</x:v>
      </x:c>
      <x:c r="P8" s="28" t="n">
        <x:f>SUMIFS('Invoices'!$F$7:$F$32,'Invoices'!$H$7:$H$32,P$5)</x:f>
        <x:v>91000</x:v>
      </x:c>
      <x:c r="Q8" s="38" t="n">
        <x:f>SUMIFS('Invoices'!$F$7:$F$32,'Invoices'!$H$7:$H$32,Q$5)</x:f>
        <x:v>0</x:v>
      </x:c>
      <x:c r="R8" s="38" t="n">
        <x:f>SUMIFS('Invoices'!$F$7:$F$32,'Invoices'!$H$7:$H$32,R$5)</x:f>
        <x:v>0</x:v>
      </x:c>
      <x:c r="S8" s="38" t="n">
        <x:f>SUMIFS('Invoices'!$F$7:$F$32,'Invoices'!$H$7:$H$32,S$5)</x:f>
        <x:v>0</x:v>
      </x:c>
      <x:c r="T8" s="38" t="n">
        <x:f>SUMIFS('Invoices'!$F$7:$F$32,'Invoices'!$H$7:$H$32,T$5)</x:f>
        <x:v>0</x:v>
      </x:c>
      <x:c r="U8" s="38" t="n">
        <x:f>SUMIFS('Invoices'!$F$7:$F$32,'Invoices'!$H$7:$H$32,U$5)</x:f>
        <x:v>0</x:v>
      </x:c>
      <x:c r="V8" s="38" t="n">
        <x:f>SUMIFS('Invoices'!$F$7:$F$32,'Invoices'!$H$7:$H$32,V$5)</x:f>
        <x:v>0</x:v>
      </x:c>
      <x:c r="W8" s="38" t="n">
        <x:f>SUMIFS('Invoices'!$F$7:$F$32,'Invoices'!$H$7:$H$32,W$5)</x:f>
        <x:v>0</x:v>
      </x:c>
      <x:c r="X8" s="38" t="n">
        <x:f>SUMIFS('Invoices'!$F$7:$F$32,'Invoices'!$H$7:$H$32,X$5)</x:f>
        <x:v>0</x:v>
      </x:c>
      <x:c r="Y8" s="38" t="n">
        <x:f>SUMIFS('Invoices'!$F$7:$F$32,'Invoices'!$H$7:$H$32,Y$5)</x:f>
        <x:v>0</x:v>
      </x:c>
      <x:c r="Z8" s="38" t="n">
        <x:f>SUMIFS('Invoices'!$F$7:$F$32,'Invoices'!$H$7:$H$32,Z$5)</x:f>
        <x:v>0</x:v>
      </x:c>
      <x:c r="AA8" s="38" t="n">
        <x:f>SUMIFS('Invoices'!$F$7:$F$32,'Invoices'!$H$7:$H$32,AA$5)</x:f>
        <x:v>0</x:v>
      </x:c>
      <x:c r="AB8" s="38" t="n">
        <x:f>SUMIFS('Invoices'!$F$7:$F$32,'Invoices'!$H$7:$H$32,AB$5)</x:f>
        <x:v>0</x:v>
      </x:c>
      <x:c r="AC8" s="38" t="n">
        <x:f>SUMIFS('Invoices'!$F$7:$F$32,'Invoices'!$H$7:$H$32,AC$5)</x:f>
        <x:v>0</x:v>
      </x:c>
    </x:row>
    <x:row r="9" ht="22" customHeight="1">
      <x:c r="A9" s="1"/>
      <x:c r="B9" s="1"/>
      <x:c r="C9" s="1" t="str">
        <x:v>Direct cash sales</x:v>
      </x:c>
      <x:c r="D9" s="28" t="n">
        <x:f>'Assumptions'!$G$11</x:f>
        <x:v>20000</x:v>
      </x:c>
      <x:c r="E9" s="28" t="n">
        <x:f>'Assumptions'!$G$11</x:f>
        <x:v>20000</x:v>
      </x:c>
      <x:c r="F9" s="28" t="n">
        <x:f>'Assumptions'!$G$11</x:f>
        <x:v>20000</x:v>
      </x:c>
      <x:c r="G9" s="28" t="n">
        <x:f>'Assumptions'!$G$11</x:f>
        <x:v>20000</x:v>
      </x:c>
      <x:c r="H9" s="28" t="n">
        <x:f>'Assumptions'!$G$11</x:f>
        <x:v>20000</x:v>
      </x:c>
      <x:c r="I9" s="28" t="n">
        <x:f>'Assumptions'!$G$11</x:f>
        <x:v>20000</x:v>
      </x:c>
      <x:c r="J9" s="28" t="n">
        <x:f>'Assumptions'!$G$11</x:f>
        <x:v>20000</x:v>
      </x:c>
      <x:c r="K9" s="28" t="n">
        <x:f>'Assumptions'!$G$11</x:f>
        <x:v>20000</x:v>
      </x:c>
      <x:c r="L9" s="28" t="n">
        <x:f>'Assumptions'!$G$11</x:f>
        <x:v>20000</x:v>
      </x:c>
      <x:c r="M9" s="28" t="n">
        <x:f>'Assumptions'!$G$11</x:f>
        <x:v>20000</x:v>
      </x:c>
      <x:c r="N9" s="28" t="n">
        <x:f>'Assumptions'!$G$11</x:f>
        <x:v>20000</x:v>
      </x:c>
      <x:c r="O9" s="28" t="n">
        <x:f>'Assumptions'!$G$11</x:f>
        <x:v>20000</x:v>
      </x:c>
      <x:c r="P9" s="28" t="n">
        <x:f>'Assumptions'!$G$11</x:f>
        <x:v>20000</x:v>
      </x:c>
      <x:c r="Q9" s="38" t="n">
        <x:f>'Assumptions'!$G$11</x:f>
        <x:v>20000</x:v>
      </x:c>
      <x:c r="R9" s="38" t="n">
        <x:f>'Assumptions'!$G$11</x:f>
        <x:v>20000</x:v>
      </x:c>
      <x:c r="S9" s="38" t="n">
        <x:f>'Assumptions'!$G$11</x:f>
        <x:v>20000</x:v>
      </x:c>
      <x:c r="T9" s="38" t="n">
        <x:f>'Assumptions'!$G$11</x:f>
        <x:v>20000</x:v>
      </x:c>
      <x:c r="U9" s="38" t="n">
        <x:f>'Assumptions'!$G$11</x:f>
        <x:v>20000</x:v>
      </x:c>
      <x:c r="V9" s="38" t="n">
        <x:f>'Assumptions'!$G$11</x:f>
        <x:v>20000</x:v>
      </x:c>
      <x:c r="W9" s="38" t="n">
        <x:f>'Assumptions'!$G$11</x:f>
        <x:v>20000</x:v>
      </x:c>
      <x:c r="X9" s="38" t="n">
        <x:f>'Assumptions'!$G$11</x:f>
        <x:v>20000</x:v>
      </x:c>
      <x:c r="Y9" s="38" t="n">
        <x:f>'Assumptions'!$G$11</x:f>
        <x:v>20000</x:v>
      </x:c>
      <x:c r="Z9" s="38" t="n">
        <x:f>'Assumptions'!$G$11</x:f>
        <x:v>20000</x:v>
      </x:c>
      <x:c r="AA9" s="38" t="n">
        <x:f>'Assumptions'!$G$11</x:f>
        <x:v>20000</x:v>
      </x:c>
      <x:c r="AB9" s="38" t="n">
        <x:f>'Assumptions'!$G$11</x:f>
        <x:v>20000</x:v>
      </x:c>
      <x:c r="AC9" s="38" t="n">
        <x:f>'Assumptions'!$G$11</x:f>
        <x:v>20000</x:v>
      </x:c>
    </x:row>
    <x:row r="10" ht="22" customHeight="1">
      <x:c r="A10" s="1"/>
      <x:c r="B10" s="1"/>
      <x:c r="C10" s="1" t="str">
        <x:v>New invoice receipts</x:v>
      </x:c>
      <x:c r="D10" s="28" t="n">
        <x:f>SUMIFS('New Invoices'!$E$7:$E$32,'New Invoices'!$F$7:$F$32,D$5)</x:f>
        <x:v>0</x:v>
      </x:c>
      <x:c r="E10" s="28" t="n">
        <x:f>SUMIFS('New Invoices'!$E$7:$E$32,'New Invoices'!$F$7:$F$32,E$5)</x:f>
        <x:v>0</x:v>
      </x:c>
      <x:c r="F10" s="28" t="n">
        <x:f>SUMIFS('New Invoices'!$E$7:$E$32,'New Invoices'!$F$7:$F$32,F$5)</x:f>
        <x:v>92000</x:v>
      </x:c>
      <x:c r="G10" s="28" t="n">
        <x:f>SUMIFS('New Invoices'!$E$7:$E$32,'New Invoices'!$F$7:$F$32,G$5)</x:f>
        <x:v>92000</x:v>
      </x:c>
      <x:c r="H10" s="28" t="n">
        <x:f>SUMIFS('New Invoices'!$E$7:$E$32,'New Invoices'!$F$7:$F$32,H$5)</x:f>
        <x:v>92000</x:v>
      </x:c>
      <x:c r="I10" s="28" t="n">
        <x:f>SUMIFS('New Invoices'!$E$7:$E$32,'New Invoices'!$F$7:$F$32,I$5)</x:f>
        <x:v>92000</x:v>
      </x:c>
      <x:c r="J10" s="28" t="n">
        <x:f>SUMIFS('New Invoices'!$E$7:$E$32,'New Invoices'!$F$7:$F$32,J$5)</x:f>
        <x:v>92000</x:v>
      </x:c>
      <x:c r="K10" s="28" t="n">
        <x:f>SUMIFS('New Invoices'!$E$7:$E$32,'New Invoices'!$F$7:$F$32,K$5)</x:f>
        <x:v>92000</x:v>
      </x:c>
      <x:c r="L10" s="28" t="n">
        <x:f>SUMIFS('New Invoices'!$E$7:$E$32,'New Invoices'!$F$7:$F$32,L$5)</x:f>
        <x:v>92000</x:v>
      </x:c>
      <x:c r="M10" s="28" t="n">
        <x:f>SUMIFS('New Invoices'!$E$7:$E$32,'New Invoices'!$F$7:$F$32,M$5)</x:f>
        <x:v>92000</x:v>
      </x:c>
      <x:c r="N10" s="28" t="n">
        <x:f>SUMIFS('New Invoices'!$E$7:$E$32,'New Invoices'!$F$7:$F$32,N$5)</x:f>
        <x:v>92000</x:v>
      </x:c>
      <x:c r="O10" s="28" t="n">
        <x:f>SUMIFS('New Invoices'!$E$7:$E$32,'New Invoices'!$F$7:$F$32,O$5)</x:f>
        <x:v>92000</x:v>
      </x:c>
      <x:c r="P10" s="28" t="n">
        <x:f>SUMIFS('New Invoices'!$E$7:$E$32,'New Invoices'!$F$7:$F$32,P$5)</x:f>
        <x:v>92000</x:v>
      </x:c>
      <x:c r="Q10" s="38" t="n">
        <x:f>SUMIFS('New Invoices'!$E$7:$E$32,'New Invoices'!$F$7:$F$32,Q$5)</x:f>
        <x:v>92000</x:v>
      </x:c>
      <x:c r="R10" s="38" t="n">
        <x:f>SUMIFS('New Invoices'!$E$7:$E$32,'New Invoices'!$F$7:$F$32,R$5)</x:f>
        <x:v>92000</x:v>
      </x:c>
      <x:c r="S10" s="38" t="n">
        <x:f>SUMIFS('New Invoices'!$E$7:$E$32,'New Invoices'!$F$7:$F$32,S$5)</x:f>
        <x:v>92000</x:v>
      </x:c>
      <x:c r="T10" s="38" t="n">
        <x:f>SUMIFS('New Invoices'!$E$7:$E$32,'New Invoices'!$F$7:$F$32,T$5)</x:f>
        <x:v>92000</x:v>
      </x:c>
      <x:c r="U10" s="38" t="n">
        <x:f>SUMIFS('New Invoices'!$E$7:$E$32,'New Invoices'!$F$7:$F$32,U$5)</x:f>
        <x:v>92000</x:v>
      </x:c>
      <x:c r="V10" s="38" t="n">
        <x:f>SUMIFS('New Invoices'!$E$7:$E$32,'New Invoices'!$F$7:$F$32,V$5)</x:f>
        <x:v>92000</x:v>
      </x:c>
      <x:c r="W10" s="38" t="n">
        <x:f>SUMIFS('New Invoices'!$E$7:$E$32,'New Invoices'!$F$7:$F$32,W$5)</x:f>
        <x:v>92000</x:v>
      </x:c>
      <x:c r="X10" s="38" t="n">
        <x:f>SUMIFS('New Invoices'!$E$7:$E$32,'New Invoices'!$F$7:$F$32,X$5)</x:f>
        <x:v>92000</x:v>
      </x:c>
      <x:c r="Y10" s="38" t="n">
        <x:f>SUMIFS('New Invoices'!$E$7:$E$32,'New Invoices'!$F$7:$F$32,Y$5)</x:f>
        <x:v>92000</x:v>
      </x:c>
      <x:c r="Z10" s="38" t="n">
        <x:f>SUMIFS('New Invoices'!$E$7:$E$32,'New Invoices'!$F$7:$F$32,Z$5)</x:f>
        <x:v>92000</x:v>
      </x:c>
      <x:c r="AA10" s="38" t="n">
        <x:f>SUMIFS('New Invoices'!$E$7:$E$32,'New Invoices'!$F$7:$F$32,AA$5)</x:f>
        <x:v>92000</x:v>
      </x:c>
      <x:c r="AB10" s="38" t="n">
        <x:f>SUMIFS('New Invoices'!$E$7:$E$32,'New Invoices'!$F$7:$F$32,AB$5)</x:f>
        <x:v>92000</x:v>
      </x:c>
      <x:c r="AC10" s="38" t="n">
        <x:f>SUMIFS('New Invoices'!$E$7:$E$32,'New Invoices'!$F$7:$F$32,AC$5)</x:f>
        <x:v>92000</x:v>
      </x:c>
    </x:row>
    <x:row r="11" ht="22" customHeight="1">
      <x:c r="A11" s="1"/>
      <x:c r="B11" s="1"/>
      <x:c r="C11" s="1" t="str">
        <x:v>Total receipts</x:v>
      </x:c>
      <x:c r="D11" s="29" t="n">
        <x:f>SUM(D8:D10)</x:f>
        <x:v>111000</x:v>
      </x:c>
      <x:c r="E11" s="29" t="n">
        <x:f>SUM(E8:E10)</x:f>
        <x:v>123000</x:v>
      </x:c>
      <x:c r="F11" s="29" t="n">
        <x:f>SUM(F8:F10)</x:f>
        <x:v>203000</x:v>
      </x:c>
      <x:c r="G11" s="29" t="n">
        <x:f>SUM(G8:G10)</x:f>
        <x:v>215000</x:v>
      </x:c>
      <x:c r="H11" s="29" t="n">
        <x:f>SUM(H8:H10)</x:f>
        <x:v>203000</x:v>
      </x:c>
      <x:c r="I11" s="29" t="n">
        <x:f>SUM(I8:I10)</x:f>
        <x:v>215000</x:v>
      </x:c>
      <x:c r="J11" s="29" t="n">
        <x:f>SUM(J8:J10)</x:f>
        <x:v>203000</x:v>
      </x:c>
      <x:c r="K11" s="29" t="n">
        <x:f>SUM(K8:K10)</x:f>
        <x:v>215000</x:v>
      </x:c>
      <x:c r="L11" s="29" t="n">
        <x:f>SUM(L8:L10)</x:f>
        <x:v>203000</x:v>
      </x:c>
      <x:c r="M11" s="29" t="n">
        <x:f>SUM(M8:M10)</x:f>
        <x:v>215000</x:v>
      </x:c>
      <x:c r="N11" s="29" t="n">
        <x:f>SUM(N8:N10)</x:f>
        <x:v>203000</x:v>
      </x:c>
      <x:c r="O11" s="29" t="n">
        <x:f>SUM(O8:O10)</x:f>
        <x:v>215000</x:v>
      </x:c>
      <x:c r="P11" s="29" t="n">
        <x:f>SUM(P8:P10)</x:f>
        <x:v>203000</x:v>
      </x:c>
      <x:c r="Q11" s="37" t="n">
        <x:f>SUM(Q8:Q10)</x:f>
        <x:v>112000</x:v>
      </x:c>
      <x:c r="R11" s="37" t="n">
        <x:f>SUM(R8:R10)</x:f>
        <x:v>112000</x:v>
      </x:c>
      <x:c r="S11" s="37" t="n">
        <x:f>SUM(S8:S10)</x:f>
        <x:v>112000</x:v>
      </x:c>
      <x:c r="T11" s="37" t="n">
        <x:f>SUM(T8:T10)</x:f>
        <x:v>112000</x:v>
      </x:c>
      <x:c r="U11" s="37" t="n">
        <x:f>SUM(U8:U10)</x:f>
        <x:v>112000</x:v>
      </x:c>
      <x:c r="V11" s="37" t="n">
        <x:f>SUM(V8:V10)</x:f>
        <x:v>112000</x:v>
      </x:c>
      <x:c r="W11" s="37" t="n">
        <x:f>SUM(W8:W10)</x:f>
        <x:v>112000</x:v>
      </x:c>
      <x:c r="X11" s="37" t="n">
        <x:f>SUM(X8:X10)</x:f>
        <x:v>112000</x:v>
      </x:c>
      <x:c r="Y11" s="37" t="n">
        <x:f>SUM(Y8:Y10)</x:f>
        <x:v>112000</x:v>
      </x:c>
      <x:c r="Z11" s="37" t="n">
        <x:f>SUM(Z8:Z10)</x:f>
        <x:v>112000</x:v>
      </x:c>
      <x:c r="AA11" s="37" t="n">
        <x:f>SUM(AA8:AA10)</x:f>
        <x:v>112000</x:v>
      </x:c>
      <x:c r="AB11" s="37" t="n">
        <x:f>SUM(AB8:AB10)</x:f>
        <x:v>112000</x:v>
      </x:c>
      <x:c r="AC11" s="37" t="n">
        <x:f>SUM(AC8:AC10)</x:f>
        <x:v>112000</x:v>
      </x:c>
    </x:row>
    <x:row r="12" ht="22" customHeight="1">
      <x:c r="A12" s="1"/>
      <x:c r="B12" s="1"/>
      <x:c r="C12" s="1" t="str">
        <x:v>Payroll</x:v>
      </x:c>
      <x:c r="D12" s="28" t="n">
        <x:f>'Assumptions'!$G$12</x:f>
        <x:v>45000</x:v>
      </x:c>
      <x:c r="E12" s="28" t="n">
        <x:f>'Assumptions'!$G$12</x:f>
        <x:v>45000</x:v>
      </x:c>
      <x:c r="F12" s="28" t="n">
        <x:f>'Assumptions'!$G$12</x:f>
        <x:v>45000</x:v>
      </x:c>
      <x:c r="G12" s="28" t="n">
        <x:f>'Assumptions'!$G$12</x:f>
        <x:v>45000</x:v>
      </x:c>
      <x:c r="H12" s="28" t="n">
        <x:f>'Assumptions'!$G$12</x:f>
        <x:v>45000</x:v>
      </x:c>
      <x:c r="I12" s="28" t="n">
        <x:f>'Assumptions'!$G$12</x:f>
        <x:v>45000</x:v>
      </x:c>
      <x:c r="J12" s="28" t="n">
        <x:f>'Assumptions'!$G$12</x:f>
        <x:v>45000</x:v>
      </x:c>
      <x:c r="K12" s="28" t="n">
        <x:f>'Assumptions'!$G$12</x:f>
        <x:v>45000</x:v>
      </x:c>
      <x:c r="L12" s="28" t="n">
        <x:f>'Assumptions'!$G$12</x:f>
        <x:v>45000</x:v>
      </x:c>
      <x:c r="M12" s="28" t="n">
        <x:f>'Assumptions'!$G$12</x:f>
        <x:v>45000</x:v>
      </x:c>
      <x:c r="N12" s="28" t="n">
        <x:f>'Assumptions'!$G$12</x:f>
        <x:v>45000</x:v>
      </x:c>
      <x:c r="O12" s="28" t="n">
        <x:f>'Assumptions'!$G$12</x:f>
        <x:v>45000</x:v>
      </x:c>
      <x:c r="P12" s="28" t="n">
        <x:f>'Assumptions'!$G$12</x:f>
        <x:v>45000</x:v>
      </x:c>
      <x:c r="Q12" s="38" t="n">
        <x:f>'Assumptions'!$G$12</x:f>
        <x:v>45000</x:v>
      </x:c>
      <x:c r="R12" s="38" t="n">
        <x:f>'Assumptions'!$G$12</x:f>
        <x:v>45000</x:v>
      </x:c>
      <x:c r="S12" s="38" t="n">
        <x:f>'Assumptions'!$G$12</x:f>
        <x:v>45000</x:v>
      </x:c>
      <x:c r="T12" s="38" t="n">
        <x:f>'Assumptions'!$G$12</x:f>
        <x:v>45000</x:v>
      </x:c>
      <x:c r="U12" s="38" t="n">
        <x:f>'Assumptions'!$G$12</x:f>
        <x:v>45000</x:v>
      </x:c>
      <x:c r="V12" s="38" t="n">
        <x:f>'Assumptions'!$G$12</x:f>
        <x:v>45000</x:v>
      </x:c>
      <x:c r="W12" s="38" t="n">
        <x:f>'Assumptions'!$G$12</x:f>
        <x:v>45000</x:v>
      </x:c>
      <x:c r="X12" s="38" t="n">
        <x:f>'Assumptions'!$G$12</x:f>
        <x:v>45000</x:v>
      </x:c>
      <x:c r="Y12" s="38" t="n">
        <x:f>'Assumptions'!$G$12</x:f>
        <x:v>45000</x:v>
      </x:c>
      <x:c r="Z12" s="38" t="n">
        <x:f>'Assumptions'!$G$12</x:f>
        <x:v>45000</x:v>
      </x:c>
      <x:c r="AA12" s="38" t="n">
        <x:f>'Assumptions'!$G$12</x:f>
        <x:v>45000</x:v>
      </x:c>
      <x:c r="AB12" s="38" t="n">
        <x:f>'Assumptions'!$G$12</x:f>
        <x:v>45000</x:v>
      </x:c>
      <x:c r="AC12" s="38" t="n">
        <x:f>'Assumptions'!$G$12</x:f>
        <x:v>45000</x:v>
      </x:c>
    </x:row>
    <x:row r="13" ht="22" customHeight="1">
      <x:c r="A13" s="1"/>
      <x:c r="B13" s="1"/>
      <x:c r="C13" s="1" t="str">
        <x:v>Fuel</x:v>
      </x:c>
      <x:c r="D13" s="28" t="n">
        <x:f>'Assumptions'!$G$13</x:f>
        <x:v>20000</x:v>
      </x:c>
      <x:c r="E13" s="28" t="n">
        <x:f>'Assumptions'!$G$13</x:f>
        <x:v>20000</x:v>
      </x:c>
      <x:c r="F13" s="28" t="n">
        <x:f>'Assumptions'!$G$13</x:f>
        <x:v>20000</x:v>
      </x:c>
      <x:c r="G13" s="28" t="n">
        <x:f>'Assumptions'!$G$13</x:f>
        <x:v>20000</x:v>
      </x:c>
      <x:c r="H13" s="28" t="n">
        <x:f>'Assumptions'!$G$13</x:f>
        <x:v>20000</x:v>
      </x:c>
      <x:c r="I13" s="28" t="n">
        <x:f>'Assumptions'!$G$13</x:f>
        <x:v>20000</x:v>
      </x:c>
      <x:c r="J13" s="28" t="n">
        <x:f>'Assumptions'!$G$13</x:f>
        <x:v>20000</x:v>
      </x:c>
      <x:c r="K13" s="28" t="n">
        <x:f>'Assumptions'!$G$13</x:f>
        <x:v>20000</x:v>
      </x:c>
      <x:c r="L13" s="28" t="n">
        <x:f>'Assumptions'!$G$13</x:f>
        <x:v>20000</x:v>
      </x:c>
      <x:c r="M13" s="28" t="n">
        <x:f>'Assumptions'!$G$13</x:f>
        <x:v>20000</x:v>
      </x:c>
      <x:c r="N13" s="28" t="n">
        <x:f>'Assumptions'!$G$13</x:f>
        <x:v>20000</x:v>
      </x:c>
      <x:c r="O13" s="28" t="n">
        <x:f>'Assumptions'!$G$13</x:f>
        <x:v>20000</x:v>
      </x:c>
      <x:c r="P13" s="28" t="n">
        <x:f>'Assumptions'!$G$13</x:f>
        <x:v>20000</x:v>
      </x:c>
      <x:c r="Q13" s="38" t="n">
        <x:f>'Assumptions'!$G$13</x:f>
        <x:v>20000</x:v>
      </x:c>
      <x:c r="R13" s="38" t="n">
        <x:f>'Assumptions'!$G$13</x:f>
        <x:v>20000</x:v>
      </x:c>
      <x:c r="S13" s="38" t="n">
        <x:f>'Assumptions'!$G$13</x:f>
        <x:v>20000</x:v>
      </x:c>
      <x:c r="T13" s="38" t="n">
        <x:f>'Assumptions'!$G$13</x:f>
        <x:v>20000</x:v>
      </x:c>
      <x:c r="U13" s="38" t="n">
        <x:f>'Assumptions'!$G$13</x:f>
        <x:v>20000</x:v>
      </x:c>
      <x:c r="V13" s="38" t="n">
        <x:f>'Assumptions'!$G$13</x:f>
        <x:v>20000</x:v>
      </x:c>
      <x:c r="W13" s="38" t="n">
        <x:f>'Assumptions'!$G$13</x:f>
        <x:v>20000</x:v>
      </x:c>
      <x:c r="X13" s="38" t="n">
        <x:f>'Assumptions'!$G$13</x:f>
        <x:v>20000</x:v>
      </x:c>
      <x:c r="Y13" s="38" t="n">
        <x:f>'Assumptions'!$G$13</x:f>
        <x:v>20000</x:v>
      </x:c>
      <x:c r="Z13" s="38" t="n">
        <x:f>'Assumptions'!$G$13</x:f>
        <x:v>20000</x:v>
      </x:c>
      <x:c r="AA13" s="38" t="n">
        <x:f>'Assumptions'!$G$13</x:f>
        <x:v>20000</x:v>
      </x:c>
      <x:c r="AB13" s="38" t="n">
        <x:f>'Assumptions'!$G$13</x:f>
        <x:v>20000</x:v>
      </x:c>
      <x:c r="AC13" s="38" t="n">
        <x:f>'Assumptions'!$G$13</x:f>
        <x:v>20000</x:v>
      </x:c>
    </x:row>
    <x:row r="14" ht="22" customHeight="1">
      <x:c r="A14" s="1"/>
      <x:c r="B14" s="1"/>
      <x:c r="C14" s="1" t="str">
        <x:v>Supplier payments</x:v>
      </x:c>
      <x:c r="D14" s="28" t="n">
        <x:f>'Assumptions'!$G$14</x:f>
        <x:v>35000</x:v>
      </x:c>
      <x:c r="E14" s="28" t="n">
        <x:f>'Assumptions'!$G$14</x:f>
        <x:v>35000</x:v>
      </x:c>
      <x:c r="F14" s="28" t="n">
        <x:f>'Assumptions'!$G$14</x:f>
        <x:v>35000</x:v>
      </x:c>
      <x:c r="G14" s="28" t="n">
        <x:f>'Assumptions'!$G$14</x:f>
        <x:v>35000</x:v>
      </x:c>
      <x:c r="H14" s="28" t="n">
        <x:f>'Assumptions'!$G$14</x:f>
        <x:v>35000</x:v>
      </x:c>
      <x:c r="I14" s="28" t="n">
        <x:f>'Assumptions'!$G$14</x:f>
        <x:v>35000</x:v>
      </x:c>
      <x:c r="J14" s="28" t="n">
        <x:f>'Assumptions'!$G$14</x:f>
        <x:v>35000</x:v>
      </x:c>
      <x:c r="K14" s="28" t="n">
        <x:f>'Assumptions'!$G$14</x:f>
        <x:v>35000</x:v>
      </x:c>
      <x:c r="L14" s="28" t="n">
        <x:f>'Assumptions'!$G$14</x:f>
        <x:v>35000</x:v>
      </x:c>
      <x:c r="M14" s="28" t="n">
        <x:f>'Assumptions'!$G$14</x:f>
        <x:v>35000</x:v>
      </x:c>
      <x:c r="N14" s="28" t="n">
        <x:f>'Assumptions'!$G$14</x:f>
        <x:v>35000</x:v>
      </x:c>
      <x:c r="O14" s="28" t="n">
        <x:f>'Assumptions'!$G$14</x:f>
        <x:v>35000</x:v>
      </x:c>
      <x:c r="P14" s="28" t="n">
        <x:f>'Assumptions'!$G$14</x:f>
        <x:v>35000</x:v>
      </x:c>
      <x:c r="Q14" s="38" t="n">
        <x:f>'Assumptions'!$G$14</x:f>
        <x:v>35000</x:v>
      </x:c>
      <x:c r="R14" s="38" t="n">
        <x:f>'Assumptions'!$G$14</x:f>
        <x:v>35000</x:v>
      </x:c>
      <x:c r="S14" s="38" t="n">
        <x:f>'Assumptions'!$G$14</x:f>
        <x:v>35000</x:v>
      </x:c>
      <x:c r="T14" s="38" t="n">
        <x:f>'Assumptions'!$G$14</x:f>
        <x:v>35000</x:v>
      </x:c>
      <x:c r="U14" s="38" t="n">
        <x:f>'Assumptions'!$G$14</x:f>
        <x:v>35000</x:v>
      </x:c>
      <x:c r="V14" s="38" t="n">
        <x:f>'Assumptions'!$G$14</x:f>
        <x:v>35000</x:v>
      </x:c>
      <x:c r="W14" s="38" t="n">
        <x:f>'Assumptions'!$G$14</x:f>
        <x:v>35000</x:v>
      </x:c>
      <x:c r="X14" s="38" t="n">
        <x:f>'Assumptions'!$G$14</x:f>
        <x:v>35000</x:v>
      </x:c>
      <x:c r="Y14" s="38" t="n">
        <x:f>'Assumptions'!$G$14</x:f>
        <x:v>35000</x:v>
      </x:c>
      <x:c r="Z14" s="38" t="n">
        <x:f>'Assumptions'!$G$14</x:f>
        <x:v>35000</x:v>
      </x:c>
      <x:c r="AA14" s="38" t="n">
        <x:f>'Assumptions'!$G$14</x:f>
        <x:v>35000</x:v>
      </x:c>
      <x:c r="AB14" s="38" t="n">
        <x:f>'Assumptions'!$G$14</x:f>
        <x:v>35000</x:v>
      </x:c>
      <x:c r="AC14" s="38" t="n">
        <x:f>'Assumptions'!$G$14</x:f>
        <x:v>35000</x:v>
      </x:c>
    </x:row>
    <x:row r="15" ht="22" customHeight="1">
      <x:c r="A15" s="1"/>
      <x:c r="B15" s="1"/>
      <x:c r="C15" s="1" t="str">
        <x:v>Lease payments</x:v>
      </x:c>
      <x:c r="D15" s="28" t="n">
        <x:f>'Assumptions'!$G$15</x:f>
        <x:v>12000</x:v>
      </x:c>
      <x:c r="E15" s="28" t="n">
        <x:f>'Assumptions'!$G$15</x:f>
        <x:v>12000</x:v>
      </x:c>
      <x:c r="F15" s="28" t="n">
        <x:f>'Assumptions'!$G$15</x:f>
        <x:v>12000</x:v>
      </x:c>
      <x:c r="G15" s="28" t="n">
        <x:f>'Assumptions'!$G$15</x:f>
        <x:v>12000</x:v>
      </x:c>
      <x:c r="H15" s="28" t="n">
        <x:f>'Assumptions'!$G$15</x:f>
        <x:v>12000</x:v>
      </x:c>
      <x:c r="I15" s="28" t="n">
        <x:f>'Assumptions'!$G$15</x:f>
        <x:v>12000</x:v>
      </x:c>
      <x:c r="J15" s="28" t="n">
        <x:f>'Assumptions'!$G$15</x:f>
        <x:v>12000</x:v>
      </x:c>
      <x:c r="K15" s="28" t="n">
        <x:f>'Assumptions'!$G$15</x:f>
        <x:v>12000</x:v>
      </x:c>
      <x:c r="L15" s="28" t="n">
        <x:f>'Assumptions'!$G$15</x:f>
        <x:v>12000</x:v>
      </x:c>
      <x:c r="M15" s="28" t="n">
        <x:f>'Assumptions'!$G$15</x:f>
        <x:v>12000</x:v>
      </x:c>
      <x:c r="N15" s="28" t="n">
        <x:f>'Assumptions'!$G$15</x:f>
        <x:v>12000</x:v>
      </x:c>
      <x:c r="O15" s="28" t="n">
        <x:f>'Assumptions'!$G$15</x:f>
        <x:v>12000</x:v>
      </x:c>
      <x:c r="P15" s="28" t="n">
        <x:f>'Assumptions'!$G$15</x:f>
        <x:v>12000</x:v>
      </x:c>
      <x:c r="Q15" s="38" t="n">
        <x:f>'Assumptions'!$G$15</x:f>
        <x:v>12000</x:v>
      </x:c>
      <x:c r="R15" s="38" t="n">
        <x:f>'Assumptions'!$G$15</x:f>
        <x:v>12000</x:v>
      </x:c>
      <x:c r="S15" s="38" t="n">
        <x:f>'Assumptions'!$G$15</x:f>
        <x:v>12000</x:v>
      </x:c>
      <x:c r="T15" s="38" t="n">
        <x:f>'Assumptions'!$G$15</x:f>
        <x:v>12000</x:v>
      </x:c>
      <x:c r="U15" s="38" t="n">
        <x:f>'Assumptions'!$G$15</x:f>
        <x:v>12000</x:v>
      </x:c>
      <x:c r="V15" s="38" t="n">
        <x:f>'Assumptions'!$G$15</x:f>
        <x:v>12000</x:v>
      </x:c>
      <x:c r="W15" s="38" t="n">
        <x:f>'Assumptions'!$G$15</x:f>
        <x:v>12000</x:v>
      </x:c>
      <x:c r="X15" s="38" t="n">
        <x:f>'Assumptions'!$G$15</x:f>
        <x:v>12000</x:v>
      </x:c>
      <x:c r="Y15" s="38" t="n">
        <x:f>'Assumptions'!$G$15</x:f>
        <x:v>12000</x:v>
      </x:c>
      <x:c r="Z15" s="38" t="n">
        <x:f>'Assumptions'!$G$15</x:f>
        <x:v>12000</x:v>
      </x:c>
      <x:c r="AA15" s="38" t="n">
        <x:f>'Assumptions'!$G$15</x:f>
        <x:v>12000</x:v>
      </x:c>
      <x:c r="AB15" s="38" t="n">
        <x:f>'Assumptions'!$G$15</x:f>
        <x:v>12000</x:v>
      </x:c>
      <x:c r="AC15" s="38" t="n">
        <x:f>'Assumptions'!$G$15</x:f>
        <x:v>12000</x:v>
      </x:c>
    </x:row>
    <x:row r="16" ht="22" customHeight="1">
      <x:c r="A16" s="1"/>
      <x:c r="B16" s="1"/>
      <x:c r="C16" s="1" t="str">
        <x:v>Capex</x:v>
      </x:c>
      <x:c r="D16" s="28" t="n">
        <x:f>IF(D$5='Assumptions'!$D$18,'Assumptions'!$G$16,0)</x:f>
        <x:v>0</x:v>
      </x:c>
      <x:c r="E16" s="28" t="n">
        <x:f>IF(E$5='Assumptions'!$D$18,'Assumptions'!$G$16,0)</x:f>
        <x:v>0</x:v>
      </x:c>
      <x:c r="F16" s="28" t="n">
        <x:f>IF(F$5='Assumptions'!$D$18,'Assumptions'!$G$16,0)</x:f>
        <x:v>0</x:v>
      </x:c>
      <x:c r="G16" s="28" t="n">
        <x:f>IF(G$5='Assumptions'!$D$18,'Assumptions'!$G$16,0)</x:f>
        <x:v>0</x:v>
      </x:c>
      <x:c r="H16" s="28" t="n">
        <x:f>IF(H$5='Assumptions'!$D$18,'Assumptions'!$G$16,0)</x:f>
        <x:v>0</x:v>
      </x:c>
      <x:c r="I16" s="28" t="n">
        <x:f>IF(I$5='Assumptions'!$D$18,'Assumptions'!$G$16,0)</x:f>
        <x:v>90000</x:v>
      </x:c>
      <x:c r="J16" s="28" t="n">
        <x:f>IF(J$5='Assumptions'!$D$18,'Assumptions'!$G$16,0)</x:f>
        <x:v>0</x:v>
      </x:c>
      <x:c r="K16" s="28" t="n">
        <x:f>IF(K$5='Assumptions'!$D$18,'Assumptions'!$G$16,0)</x:f>
        <x:v>0</x:v>
      </x:c>
      <x:c r="L16" s="28" t="n">
        <x:f>IF(L$5='Assumptions'!$D$18,'Assumptions'!$G$16,0)</x:f>
        <x:v>0</x:v>
      </x:c>
      <x:c r="M16" s="28" t="n">
        <x:f>IF(M$5='Assumptions'!$D$18,'Assumptions'!$G$16,0)</x:f>
        <x:v>0</x:v>
      </x:c>
      <x:c r="N16" s="28" t="n">
        <x:f>IF(N$5='Assumptions'!$D$18,'Assumptions'!$G$16,0)</x:f>
        <x:v>0</x:v>
      </x:c>
      <x:c r="O16" s="28" t="n">
        <x:f>IF(O$5='Assumptions'!$D$18,'Assumptions'!$G$16,0)</x:f>
        <x:v>0</x:v>
      </x:c>
      <x:c r="P16" s="28" t="n">
        <x:f>IF(P$5='Assumptions'!$D$18,'Assumptions'!$G$16,0)</x:f>
        <x:v>0</x:v>
      </x:c>
      <x:c r="Q16" s="38" t="n">
        <x:f>IF(Q$5='Assumptions'!$D$18,'Assumptions'!$G$16,0)</x:f>
        <x:v>0</x:v>
      </x:c>
      <x:c r="R16" s="38" t="n">
        <x:f>IF(R$5='Assumptions'!$D$18,'Assumptions'!$G$16,0)</x:f>
        <x:v>0</x:v>
      </x:c>
      <x:c r="S16" s="38" t="n">
        <x:f>IF(S$5='Assumptions'!$D$18,'Assumptions'!$G$16,0)</x:f>
        <x:v>0</x:v>
      </x:c>
      <x:c r="T16" s="38" t="n">
        <x:f>IF(T$5='Assumptions'!$D$18,'Assumptions'!$G$16,0)</x:f>
        <x:v>0</x:v>
      </x:c>
      <x:c r="U16" s="38" t="n">
        <x:f>IF(U$5='Assumptions'!$D$18,'Assumptions'!$G$16,0)</x:f>
        <x:v>0</x:v>
      </x:c>
      <x:c r="V16" s="38" t="n">
        <x:f>IF(V$5='Assumptions'!$D$18,'Assumptions'!$G$16,0)</x:f>
        <x:v>0</x:v>
      </x:c>
      <x:c r="W16" s="38" t="n">
        <x:f>IF(W$5='Assumptions'!$D$18,'Assumptions'!$G$16,0)</x:f>
        <x:v>0</x:v>
      </x:c>
      <x:c r="X16" s="38" t="n">
        <x:f>IF(X$5='Assumptions'!$D$18,'Assumptions'!$G$16,0)</x:f>
        <x:v>0</x:v>
      </x:c>
      <x:c r="Y16" s="38" t="n">
        <x:f>IF(Y$5='Assumptions'!$D$18,'Assumptions'!$G$16,0)</x:f>
        <x:v>0</x:v>
      </x:c>
      <x:c r="Z16" s="38" t="n">
        <x:f>IF(Z$5='Assumptions'!$D$18,'Assumptions'!$G$16,0)</x:f>
        <x:v>0</x:v>
      </x:c>
      <x:c r="AA16" s="38" t="n">
        <x:f>IF(AA$5='Assumptions'!$D$18,'Assumptions'!$G$16,0)</x:f>
        <x:v>0</x:v>
      </x:c>
      <x:c r="AB16" s="38" t="n">
        <x:f>IF(AB$5='Assumptions'!$D$18,'Assumptions'!$G$16,0)</x:f>
        <x:v>0</x:v>
      </x:c>
      <x:c r="AC16" s="38" t="n">
        <x:f>IF(AC$5='Assumptions'!$D$18,'Assumptions'!$G$16,0)</x:f>
        <x:v>0</x:v>
      </x:c>
    </x:row>
    <x:row r="17" ht="22" customHeight="1">
      <x:c r="A17" s="1"/>
      <x:c r="B17" s="1"/>
      <x:c r="C17" s="1" t="str">
        <x:v>Total operating payments</x:v>
      </x:c>
      <x:c r="D17" s="29" t="n">
        <x:f>SUM(D12:D16)</x:f>
        <x:v>112000</x:v>
      </x:c>
      <x:c r="E17" s="29" t="n">
        <x:f>SUM(E12:E16)</x:f>
        <x:v>112000</x:v>
      </x:c>
      <x:c r="F17" s="29" t="n">
        <x:f>SUM(F12:F16)</x:f>
        <x:v>112000</x:v>
      </x:c>
      <x:c r="G17" s="29" t="n">
        <x:f>SUM(G12:G16)</x:f>
        <x:v>112000</x:v>
      </x:c>
      <x:c r="H17" s="29" t="n">
        <x:f>SUM(H12:H16)</x:f>
        <x:v>112000</x:v>
      </x:c>
      <x:c r="I17" s="29" t="n">
        <x:f>SUM(I12:I16)</x:f>
        <x:v>202000</x:v>
      </x:c>
      <x:c r="J17" s="29" t="n">
        <x:f>SUM(J12:J16)</x:f>
        <x:v>112000</x:v>
      </x:c>
      <x:c r="K17" s="29" t="n">
        <x:f>SUM(K12:K16)</x:f>
        <x:v>112000</x:v>
      </x:c>
      <x:c r="L17" s="29" t="n">
        <x:f>SUM(L12:L16)</x:f>
        <x:v>112000</x:v>
      </x:c>
      <x:c r="M17" s="29" t="n">
        <x:f>SUM(M12:M16)</x:f>
        <x:v>112000</x:v>
      </x:c>
      <x:c r="N17" s="29" t="n">
        <x:f>SUM(N12:N16)</x:f>
        <x:v>112000</x:v>
      </x:c>
      <x:c r="O17" s="29" t="n">
        <x:f>SUM(O12:O16)</x:f>
        <x:v>112000</x:v>
      </x:c>
      <x:c r="P17" s="29" t="n">
        <x:f>SUM(P12:P16)</x:f>
        <x:v>112000</x:v>
      </x:c>
      <x:c r="Q17" s="37" t="n">
        <x:f>SUM(Q12:Q16)</x:f>
        <x:v>112000</x:v>
      </x:c>
      <x:c r="R17" s="37" t="n">
        <x:f>SUM(R12:R16)</x:f>
        <x:v>112000</x:v>
      </x:c>
      <x:c r="S17" s="37" t="n">
        <x:f>SUM(S12:S16)</x:f>
        <x:v>112000</x:v>
      </x:c>
      <x:c r="T17" s="37" t="n">
        <x:f>SUM(T12:T16)</x:f>
        <x:v>112000</x:v>
      </x:c>
      <x:c r="U17" s="37" t="n">
        <x:f>SUM(U12:U16)</x:f>
        <x:v>112000</x:v>
      </x:c>
      <x:c r="V17" s="37" t="n">
        <x:f>SUM(V12:V16)</x:f>
        <x:v>112000</x:v>
      </x:c>
      <x:c r="W17" s="37" t="n">
        <x:f>SUM(W12:W16)</x:f>
        <x:v>112000</x:v>
      </x:c>
      <x:c r="X17" s="37" t="n">
        <x:f>SUM(X12:X16)</x:f>
        <x:v>112000</x:v>
      </x:c>
      <x:c r="Y17" s="37" t="n">
        <x:f>SUM(Y12:Y16)</x:f>
        <x:v>112000</x:v>
      </x:c>
      <x:c r="Z17" s="37" t="n">
        <x:f>SUM(Z12:Z16)</x:f>
        <x:v>112000</x:v>
      </x:c>
      <x:c r="AA17" s="37" t="n">
        <x:f>SUM(AA12:AA16)</x:f>
        <x:v>112000</x:v>
      </x:c>
      <x:c r="AB17" s="37" t="n">
        <x:f>SUM(AB12:AB16)</x:f>
        <x:v>112000</x:v>
      </x:c>
      <x:c r="AC17" s="37" t="n">
        <x:f>SUM(AC12:AC16)</x:f>
        <x:v>112000</x:v>
      </x:c>
    </x:row>
    <x:row r="18" ht="22" customHeight="1">
      <x:c r="A18" s="1"/>
      <x:c r="B18" s="1"/>
      <x:c r="C18" s="1" t="str">
        <x:v>Operating net cash flow</x:v>
      </x:c>
      <x:c r="D18" s="29" t="n">
        <x:f>D11-D17</x:f>
        <x:v>-1000</x:v>
      </x:c>
      <x:c r="E18" s="29" t="n">
        <x:f>E11-E17</x:f>
        <x:v>11000</x:v>
      </x:c>
      <x:c r="F18" s="29" t="n">
        <x:f>F11-F17</x:f>
        <x:v>91000</x:v>
      </x:c>
      <x:c r="G18" s="29" t="n">
        <x:f>G11-G17</x:f>
        <x:v>103000</x:v>
      </x:c>
      <x:c r="H18" s="29" t="n">
        <x:f>H11-H17</x:f>
        <x:v>91000</x:v>
      </x:c>
      <x:c r="I18" s="29" t="n">
        <x:f>I11-I17</x:f>
        <x:v>13000</x:v>
      </x:c>
      <x:c r="J18" s="29" t="n">
        <x:f>J11-J17</x:f>
        <x:v>91000</x:v>
      </x:c>
      <x:c r="K18" s="29" t="n">
        <x:f>K11-K17</x:f>
        <x:v>103000</x:v>
      </x:c>
      <x:c r="L18" s="29" t="n">
        <x:f>L11-L17</x:f>
        <x:v>91000</x:v>
      </x:c>
      <x:c r="M18" s="29" t="n">
        <x:f>M11-M17</x:f>
        <x:v>103000</x:v>
      </x:c>
      <x:c r="N18" s="29" t="n">
        <x:f>N11-N17</x:f>
        <x:v>91000</x:v>
      </x:c>
      <x:c r="O18" s="29" t="n">
        <x:f>O11-O17</x:f>
        <x:v>103000</x:v>
      </x:c>
      <x:c r="P18" s="29" t="n">
        <x:f>P11-P17</x:f>
        <x:v>91000</x:v>
      </x:c>
      <x:c r="Q18" s="37" t="n">
        <x:f>Q11-Q17</x:f>
        <x:v>0</x:v>
      </x:c>
      <x:c r="R18" s="37" t="n">
        <x:f>R11-R17</x:f>
        <x:v>0</x:v>
      </x:c>
      <x:c r="S18" s="37" t="n">
        <x:f>S11-S17</x:f>
        <x:v>0</x:v>
      </x:c>
      <x:c r="T18" s="37" t="n">
        <x:f>T11-T17</x:f>
        <x:v>0</x:v>
      </x:c>
      <x:c r="U18" s="37" t="n">
        <x:f>U11-U17</x:f>
        <x:v>0</x:v>
      </x:c>
      <x:c r="V18" s="37" t="n">
        <x:f>V11-V17</x:f>
        <x:v>0</x:v>
      </x:c>
      <x:c r="W18" s="37" t="n">
        <x:f>W11-W17</x:f>
        <x:v>0</x:v>
      </x:c>
      <x:c r="X18" s="37" t="n">
        <x:f>X11-X17</x:f>
        <x:v>0</x:v>
      </x:c>
      <x:c r="Y18" s="37" t="n">
        <x:f>Y11-Y17</x:f>
        <x:v>0</x:v>
      </x:c>
      <x:c r="Z18" s="37" t="n">
        <x:f>Z11-Z17</x:f>
        <x:v>0</x:v>
      </x:c>
      <x:c r="AA18" s="37" t="n">
        <x:f>AA11-AA17</x:f>
        <x:v>0</x:v>
      </x:c>
      <x:c r="AB18" s="37" t="n">
        <x:f>AB11-AB17</x:f>
        <x:v>0</x:v>
      </x:c>
      <x:c r="AC18" s="37" t="n">
        <x:f>AC11-AC17</x:f>
        <x:v>0</x:v>
      </x:c>
    </x:row>
    <x:row r="19" ht="22" customHeight="1">
      <x:c r="A19" s="1"/>
      <x:c r="B19" s="1"/>
      <x:c r="C19" s="1" t="str">
        <x:v>Opening facility debt</x:v>
      </x:c>
      <x:c r="D19" s="28" t="n">
        <x:f>'Assumptions'!I38</x:f>
        <x:v>0</x:v>
      </x:c>
      <x:c r="E19" s="29" t="n">
        <x:f>D26</x:f>
        <x:v>0</x:v>
      </x:c>
      <x:c r="F19" s="29" t="n">
        <x:f>E26</x:f>
        <x:v>0</x:v>
      </x:c>
      <x:c r="G19" s="29" t="n">
        <x:f>F26</x:f>
        <x:v>0</x:v>
      </x:c>
      <x:c r="H19" s="29" t="n">
        <x:f>G26</x:f>
        <x:v>0</x:v>
      </x:c>
      <x:c r="I19" s="29" t="n">
        <x:f>H26</x:f>
        <x:v>0</x:v>
      </x:c>
      <x:c r="J19" s="29" t="n">
        <x:f>I26</x:f>
        <x:v>0</x:v>
      </x:c>
      <x:c r="K19" s="29" t="n">
        <x:f>J26</x:f>
        <x:v>0</x:v>
      </x:c>
      <x:c r="L19" s="29" t="n">
        <x:f>K26</x:f>
        <x:v>0</x:v>
      </x:c>
      <x:c r="M19" s="29" t="n">
        <x:f>L26</x:f>
        <x:v>0</x:v>
      </x:c>
      <x:c r="N19" s="29" t="n">
        <x:f>M26</x:f>
        <x:v>0</x:v>
      </x:c>
      <x:c r="O19" s="29" t="n">
        <x:f>N26</x:f>
        <x:v>0</x:v>
      </x:c>
      <x:c r="P19" s="29" t="n">
        <x:f>O26</x:f>
        <x:v>0</x:v>
      </x:c>
      <x:c r="Q19" s="37" t="n">
        <x:f>P26</x:f>
        <x:v>0</x:v>
      </x:c>
      <x:c r="R19" s="37" t="n">
        <x:f>Q26</x:f>
        <x:v>0</x:v>
      </x:c>
      <x:c r="S19" s="37" t="n">
        <x:f>R26</x:f>
        <x:v>0</x:v>
      </x:c>
      <x:c r="T19" s="37" t="n">
        <x:f>S26</x:f>
        <x:v>0</x:v>
      </x:c>
      <x:c r="U19" s="37" t="n">
        <x:f>T26</x:f>
        <x:v>0</x:v>
      </x:c>
      <x:c r="V19" s="37" t="n">
        <x:f>U26</x:f>
        <x:v>0</x:v>
      </x:c>
      <x:c r="W19" s="37" t="n">
        <x:f>V26</x:f>
        <x:v>0</x:v>
      </x:c>
      <x:c r="X19" s="37" t="n">
        <x:f>W26</x:f>
        <x:v>0</x:v>
      </x:c>
      <x:c r="Y19" s="37" t="n">
        <x:f>X26</x:f>
        <x:v>0</x:v>
      </x:c>
      <x:c r="Z19" s="37" t="n">
        <x:f>Y26</x:f>
        <x:v>0</x:v>
      </x:c>
      <x:c r="AA19" s="37" t="n">
        <x:f>Z26</x:f>
        <x:v>0</x:v>
      </x:c>
      <x:c r="AB19" s="37" t="n">
        <x:f>AA26</x:f>
        <x:v>0</x:v>
      </x:c>
      <x:c r="AC19" s="37" t="n">
        <x:f>AB26</x:f>
        <x:v>0</x:v>
      </x:c>
    </x:row>
    <x:row r="20" ht="22" customHeight="1">
      <x:c r="A20" s="1"/>
      <x:c r="B20" s="1"/>
      <x:c r="C20" s="1" t="str">
        <x:v>Interest on opening debt</x:v>
      </x:c>
      <x:c r="D20" s="28" t="n">
        <x:f>D19*'Assumptions'!$I$36/52</x:f>
        <x:v>0</x:v>
      </x:c>
      <x:c r="E20" s="28" t="n">
        <x:f>E19*'Assumptions'!$I$36/52</x:f>
        <x:v>0</x:v>
      </x:c>
      <x:c r="F20" s="28" t="n">
        <x:f>F19*'Assumptions'!$I$36/52</x:f>
        <x:v>0</x:v>
      </x:c>
      <x:c r="G20" s="28" t="n">
        <x:f>G19*'Assumptions'!$I$36/52</x:f>
        <x:v>0</x:v>
      </x:c>
      <x:c r="H20" s="28" t="n">
        <x:f>H19*'Assumptions'!$I$36/52</x:f>
        <x:v>0</x:v>
      </x:c>
      <x:c r="I20" s="28" t="n">
        <x:f>I19*'Assumptions'!$I$36/52</x:f>
        <x:v>0</x:v>
      </x:c>
      <x:c r="J20" s="28" t="n">
        <x:f>J19*'Assumptions'!$I$36/52</x:f>
        <x:v>0</x:v>
      </x:c>
      <x:c r="K20" s="28" t="n">
        <x:f>K19*'Assumptions'!$I$36/52</x:f>
        <x:v>0</x:v>
      </x:c>
      <x:c r="L20" s="28" t="n">
        <x:f>L19*'Assumptions'!$I$36/52</x:f>
        <x:v>0</x:v>
      </x:c>
      <x:c r="M20" s="28" t="n">
        <x:f>M19*'Assumptions'!$I$36/52</x:f>
        <x:v>0</x:v>
      </x:c>
      <x:c r="N20" s="28" t="n">
        <x:f>N19*'Assumptions'!$I$36/52</x:f>
        <x:v>0</x:v>
      </x:c>
      <x:c r="O20" s="28" t="n">
        <x:f>O19*'Assumptions'!$I$36/52</x:f>
        <x:v>0</x:v>
      </x:c>
      <x:c r="P20" s="28" t="n">
        <x:f>P19*'Assumptions'!$I$36/52</x:f>
        <x:v>0</x:v>
      </x:c>
      <x:c r="Q20" s="38" t="n">
        <x:f>Q19*'Assumptions'!$I$36/52</x:f>
        <x:v>0</x:v>
      </x:c>
      <x:c r="R20" s="38" t="n">
        <x:f>R19*'Assumptions'!$I$36/52</x:f>
        <x:v>0</x:v>
      </x:c>
      <x:c r="S20" s="38" t="n">
        <x:f>S19*'Assumptions'!$I$36/52</x:f>
        <x:v>0</x:v>
      </x:c>
      <x:c r="T20" s="38" t="n">
        <x:f>T19*'Assumptions'!$I$36/52</x:f>
        <x:v>0</x:v>
      </x:c>
      <x:c r="U20" s="38" t="n">
        <x:f>U19*'Assumptions'!$I$36/52</x:f>
        <x:v>0</x:v>
      </x:c>
      <x:c r="V20" s="38" t="n">
        <x:f>V19*'Assumptions'!$I$36/52</x:f>
        <x:v>0</x:v>
      </x:c>
      <x:c r="W20" s="38" t="n">
        <x:f>W19*'Assumptions'!$I$36/52</x:f>
        <x:v>0</x:v>
      </x:c>
      <x:c r="X20" s="38" t="n">
        <x:f>X19*'Assumptions'!$I$36/52</x:f>
        <x:v>0</x:v>
      </x:c>
      <x:c r="Y20" s="38" t="n">
        <x:f>Y19*'Assumptions'!$I$36/52</x:f>
        <x:v>0</x:v>
      </x:c>
      <x:c r="Z20" s="38" t="n">
        <x:f>Z19*'Assumptions'!$I$36/52</x:f>
        <x:v>0</x:v>
      </x:c>
      <x:c r="AA20" s="38" t="n">
        <x:f>AA19*'Assumptions'!$I$36/52</x:f>
        <x:v>0</x:v>
      </x:c>
      <x:c r="AB20" s="38" t="n">
        <x:f>AB19*'Assumptions'!$I$36/52</x:f>
        <x:v>0</x:v>
      </x:c>
      <x:c r="AC20" s="38" t="n">
        <x:f>AC19*'Assumptions'!$I$36/52</x:f>
        <x:v>0</x:v>
      </x:c>
    </x:row>
    <x:row r="21" ht="22" customHeight="1">
      <x:c r="A21" s="1"/>
      <x:c r="B21" s="1"/>
      <x:c r="C21" s="1" t="str">
        <x:v>Undrawn commitment fee</x:v>
      </x:c>
      <x:c r="D21" s="28" t="n">
        <x:f>MAX(0,'Assumptions'!$I$35-D19)*'Assumptions'!$I$37/52</x:f>
        <x:v>19.23076923076923</x:v>
      </x:c>
      <x:c r="E21" s="28" t="n">
        <x:f>MAX(0,'Assumptions'!$I$35-E19)*'Assumptions'!$I$37/52</x:f>
        <x:v>19.23076923076923</x:v>
      </x:c>
      <x:c r="F21" s="28" t="n">
        <x:f>MAX(0,'Assumptions'!$I$35-F19)*'Assumptions'!$I$37/52</x:f>
        <x:v>19.23076923076923</x:v>
      </x:c>
      <x:c r="G21" s="28" t="n">
        <x:f>MAX(0,'Assumptions'!$I$35-G19)*'Assumptions'!$I$37/52</x:f>
        <x:v>19.23076923076923</x:v>
      </x:c>
      <x:c r="H21" s="28" t="n">
        <x:f>MAX(0,'Assumptions'!$I$35-H19)*'Assumptions'!$I$37/52</x:f>
        <x:v>19.23076923076923</x:v>
      </x:c>
      <x:c r="I21" s="28" t="n">
        <x:f>MAX(0,'Assumptions'!$I$35-I19)*'Assumptions'!$I$37/52</x:f>
        <x:v>19.23076923076923</x:v>
      </x:c>
      <x:c r="J21" s="28" t="n">
        <x:f>MAX(0,'Assumptions'!$I$35-J19)*'Assumptions'!$I$37/52</x:f>
        <x:v>19.23076923076923</x:v>
      </x:c>
      <x:c r="K21" s="28" t="n">
        <x:f>MAX(0,'Assumptions'!$I$35-K19)*'Assumptions'!$I$37/52</x:f>
        <x:v>19.23076923076923</x:v>
      </x:c>
      <x:c r="L21" s="28" t="n">
        <x:f>MAX(0,'Assumptions'!$I$35-L19)*'Assumptions'!$I$37/52</x:f>
        <x:v>19.23076923076923</x:v>
      </x:c>
      <x:c r="M21" s="28" t="n">
        <x:f>MAX(0,'Assumptions'!$I$35-M19)*'Assumptions'!$I$37/52</x:f>
        <x:v>19.23076923076923</x:v>
      </x:c>
      <x:c r="N21" s="28" t="n">
        <x:f>MAX(0,'Assumptions'!$I$35-N19)*'Assumptions'!$I$37/52</x:f>
        <x:v>19.23076923076923</x:v>
      </x:c>
      <x:c r="O21" s="28" t="n">
        <x:f>MAX(0,'Assumptions'!$I$35-O19)*'Assumptions'!$I$37/52</x:f>
        <x:v>19.23076923076923</x:v>
      </x:c>
      <x:c r="P21" s="28" t="n">
        <x:f>MAX(0,'Assumptions'!$I$35-P19)*'Assumptions'!$I$37/52</x:f>
        <x:v>19.23076923076923</x:v>
      </x:c>
      <x:c r="Q21" s="38" t="n">
        <x:f>MAX(0,'Assumptions'!$I$35-Q19)*'Assumptions'!$I$37/52</x:f>
        <x:v>19.23076923076923</x:v>
      </x:c>
      <x:c r="R21" s="38" t="n">
        <x:f>MAX(0,'Assumptions'!$I$35-R19)*'Assumptions'!$I$37/52</x:f>
        <x:v>19.23076923076923</x:v>
      </x:c>
      <x:c r="S21" s="38" t="n">
        <x:f>MAX(0,'Assumptions'!$I$35-S19)*'Assumptions'!$I$37/52</x:f>
        <x:v>19.23076923076923</x:v>
      </x:c>
      <x:c r="T21" s="38" t="n">
        <x:f>MAX(0,'Assumptions'!$I$35-T19)*'Assumptions'!$I$37/52</x:f>
        <x:v>19.23076923076923</x:v>
      </x:c>
      <x:c r="U21" s="38" t="n">
        <x:f>MAX(0,'Assumptions'!$I$35-U19)*'Assumptions'!$I$37/52</x:f>
        <x:v>19.23076923076923</x:v>
      </x:c>
      <x:c r="V21" s="38" t="n">
        <x:f>MAX(0,'Assumptions'!$I$35-V19)*'Assumptions'!$I$37/52</x:f>
        <x:v>19.23076923076923</x:v>
      </x:c>
      <x:c r="W21" s="38" t="n">
        <x:f>MAX(0,'Assumptions'!$I$35-W19)*'Assumptions'!$I$37/52</x:f>
        <x:v>19.23076923076923</x:v>
      </x:c>
      <x:c r="X21" s="38" t="n">
        <x:f>MAX(0,'Assumptions'!$I$35-X19)*'Assumptions'!$I$37/52</x:f>
        <x:v>19.23076923076923</x:v>
      </x:c>
      <x:c r="Y21" s="38" t="n">
        <x:f>MAX(0,'Assumptions'!$I$35-Y19)*'Assumptions'!$I$37/52</x:f>
        <x:v>19.23076923076923</x:v>
      </x:c>
      <x:c r="Z21" s="38" t="n">
        <x:f>MAX(0,'Assumptions'!$I$35-Z19)*'Assumptions'!$I$37/52</x:f>
        <x:v>19.23076923076923</x:v>
      </x:c>
      <x:c r="AA21" s="38" t="n">
        <x:f>MAX(0,'Assumptions'!$I$35-AA19)*'Assumptions'!$I$37/52</x:f>
        <x:v>19.23076923076923</x:v>
      </x:c>
      <x:c r="AB21" s="38" t="n">
        <x:f>MAX(0,'Assumptions'!$I$35-AB19)*'Assumptions'!$I$37/52</x:f>
        <x:v>19.23076923076923</x:v>
      </x:c>
      <x:c r="AC21" s="38" t="n">
        <x:f>MAX(0,'Assumptions'!$I$35-AC19)*'Assumptions'!$I$37/52</x:f>
        <x:v>19.23076923076923</x:v>
      </x:c>
    </x:row>
    <x:row r="22" ht="22" customHeight="1">
      <x:c r="A22" s="1"/>
      <x:c r="B22" s="1"/>
      <x:c r="C22" s="1" t="str">
        <x:v>Cash before draw / repayment</x:v>
      </x:c>
      <x:c r="D22" s="29" t="n">
        <x:f>D7+D18-SUM(D20:D21)</x:f>
        <x:v>178980.76923076922</x:v>
      </x:c>
      <x:c r="E22" s="29" t="n">
        <x:f>E7+E18-SUM(E20:E21)</x:f>
        <x:v>189961.53846153844</x:v>
      </x:c>
      <x:c r="F22" s="29" t="n">
        <x:f>F7+F18-SUM(F20:F21)</x:f>
        <x:v>280942.3076923077</x:v>
      </x:c>
      <x:c r="G22" s="29" t="n">
        <x:f>G7+G18-SUM(G20:G21)</x:f>
        <x:v>383923.07692307694</x:v>
      </x:c>
      <x:c r="H22" s="29" t="n">
        <x:f>H7+H18-SUM(H20:H21)</x:f>
        <x:v>474903.8461538462</x:v>
      </x:c>
      <x:c r="I22" s="29" t="n">
        <x:f>I7+I18-SUM(I20:I21)</x:f>
        <x:v>487884.61538461543</x:v>
      </x:c>
      <x:c r="J22" s="29" t="n">
        <x:f>J7+J18-SUM(J20:J21)</x:f>
        <x:v>578865.3846153847</x:v>
      </x:c>
      <x:c r="K22" s="29" t="n">
        <x:f>K7+K18-SUM(K20:K21)</x:f>
        <x:v>681846.153846154</x:v>
      </x:c>
      <x:c r="L22" s="29" t="n">
        <x:f>L7+L18-SUM(L20:L21)</x:f>
        <x:v>772826.9230769232</x:v>
      </x:c>
      <x:c r="M22" s="29" t="n">
        <x:f>M7+M18-SUM(M20:M21)</x:f>
        <x:v>875807.6923076925</x:v>
      </x:c>
      <x:c r="N22" s="29" t="n">
        <x:f>N7+N18-SUM(N20:N21)</x:f>
        <x:v>966788.4615384617</x:v>
      </x:c>
      <x:c r="O22" s="29" t="n">
        <x:f>O7+O18-SUM(O20:O21)</x:f>
        <x:v>1069769.230769231</x:v>
      </x:c>
      <x:c r="P22" s="29" t="n">
        <x:f>P7+P18-SUM(P20:P21)</x:f>
        <x:v>1160750.0000000002</x:v>
      </x:c>
      <x:c r="Q22" s="37" t="n">
        <x:f>Q7+Q18-SUM(Q20:Q21)</x:f>
        <x:v>1160730.7692307695</x:v>
      </x:c>
      <x:c r="R22" s="37" t="n">
        <x:f>R7+R18-SUM(R20:R21)</x:f>
        <x:v>1160711.5384615387</x:v>
      </x:c>
      <x:c r="S22" s="37" t="n">
        <x:f>S7+S18-SUM(S20:S21)</x:f>
        <x:v>1160692.307692308</x:v>
      </x:c>
      <x:c r="T22" s="37" t="n">
        <x:f>T7+T18-SUM(T20:T21)</x:f>
        <x:v>1160673.0769230772</x:v>
      </x:c>
      <x:c r="U22" s="37" t="n">
        <x:f>U7+U18-SUM(U20:U21)</x:f>
        <x:v>1160653.8461538465</x:v>
      </x:c>
      <x:c r="V22" s="37" t="n">
        <x:f>V7+V18-SUM(V20:V21)</x:f>
        <x:v>1160634.6153846157</x:v>
      </x:c>
      <x:c r="W22" s="37" t="n">
        <x:f>W7+W18-SUM(W20:W21)</x:f>
        <x:v>1160615.384615385</x:v>
      </x:c>
      <x:c r="X22" s="37" t="n">
        <x:f>X7+X18-SUM(X20:X21)</x:f>
        <x:v>1160596.1538461542</x:v>
      </x:c>
      <x:c r="Y22" s="37" t="n">
        <x:f>Y7+Y18-SUM(Y20:Y21)</x:f>
        <x:v>1160576.9230769235</x:v>
      </x:c>
      <x:c r="Z22" s="37" t="n">
        <x:f>Z7+Z18-SUM(Z20:Z21)</x:f>
        <x:v>1160557.6923076927</x:v>
      </x:c>
      <x:c r="AA22" s="37" t="n">
        <x:f>AA7+AA18-SUM(AA20:AA21)</x:f>
        <x:v>1160538.461538462</x:v>
      </x:c>
      <x:c r="AB22" s="37" t="n">
        <x:f>AB7+AB18-SUM(AB20:AB21)</x:f>
        <x:v>1160519.2307692312</x:v>
      </x:c>
      <x:c r="AC22" s="37" t="n">
        <x:f>AC7+AC18-SUM(AC20:AC21)</x:f>
        <x:v>1160500.0000000005</x:v>
      </x:c>
    </x:row>
    <x:row r="23" ht="22" customHeight="1">
      <x:c r="A23" s="1"/>
      <x:c r="B23" s="1"/>
      <x:c r="C23" s="5" t="str">
        <x:v>Available commitment</x:v>
      </x:c>
      <x:c r="D23" s="30" t="n">
        <x:f>MAX(0,'Assumptions'!$I$35-D19)</x:f>
        <x:v>200000</x:v>
      </x:c>
      <x:c r="E23" s="30" t="n">
        <x:f>MAX(0,'Assumptions'!$I$35-E19)</x:f>
        <x:v>200000</x:v>
      </x:c>
      <x:c r="F23" s="30" t="n">
        <x:f>MAX(0,'Assumptions'!$I$35-F19)</x:f>
        <x:v>200000</x:v>
      </x:c>
      <x:c r="G23" s="30" t="n">
        <x:f>MAX(0,'Assumptions'!$I$35-G19)</x:f>
        <x:v>200000</x:v>
      </x:c>
      <x:c r="H23" s="30" t="n">
        <x:f>MAX(0,'Assumptions'!$I$35-H19)</x:f>
        <x:v>200000</x:v>
      </x:c>
      <x:c r="I23" s="30" t="n">
        <x:f>MAX(0,'Assumptions'!$I$35-I19)</x:f>
        <x:v>200000</x:v>
      </x:c>
      <x:c r="J23" s="30" t="n">
        <x:f>MAX(0,'Assumptions'!$I$35-J19)</x:f>
        <x:v>200000</x:v>
      </x:c>
      <x:c r="K23" s="30" t="n">
        <x:f>MAX(0,'Assumptions'!$I$35-K19)</x:f>
        <x:v>200000</x:v>
      </x:c>
      <x:c r="L23" s="30" t="n">
        <x:f>MAX(0,'Assumptions'!$I$35-L19)</x:f>
        <x:v>200000</x:v>
      </x:c>
      <x:c r="M23" s="28" t="n">
        <x:f>MAX(0,'Assumptions'!$I$35-M19)</x:f>
        <x:v>200000</x:v>
      </x:c>
      <x:c r="N23" s="28" t="n">
        <x:f>MAX(0,'Assumptions'!$I$35-N19)</x:f>
        <x:v>200000</x:v>
      </x:c>
      <x:c r="O23" s="28" t="n">
        <x:f>MAX(0,'Assumptions'!$I$35-O19)</x:f>
        <x:v>200000</x:v>
      </x:c>
      <x:c r="P23" s="28" t="n">
        <x:f>MAX(0,'Assumptions'!$I$35-P19)</x:f>
        <x:v>200000</x:v>
      </x:c>
      <x:c r="Q23" s="38" t="n">
        <x:f>MAX(0,'Assumptions'!$I$35-Q19)</x:f>
        <x:v>200000</x:v>
      </x:c>
      <x:c r="R23" s="38" t="n">
        <x:f>MAX(0,'Assumptions'!$I$35-R19)</x:f>
        <x:v>200000</x:v>
      </x:c>
      <x:c r="S23" s="38" t="n">
        <x:f>MAX(0,'Assumptions'!$I$35-S19)</x:f>
        <x:v>200000</x:v>
      </x:c>
      <x:c r="T23" s="38" t="n">
        <x:f>MAX(0,'Assumptions'!$I$35-T19)</x:f>
        <x:v>200000</x:v>
      </x:c>
      <x:c r="U23" s="38" t="n">
        <x:f>MAX(0,'Assumptions'!$I$35-U19)</x:f>
        <x:v>200000</x:v>
      </x:c>
      <x:c r="V23" s="38" t="n">
        <x:f>MAX(0,'Assumptions'!$I$35-V19)</x:f>
        <x:v>200000</x:v>
      </x:c>
      <x:c r="W23" s="38" t="n">
        <x:f>MAX(0,'Assumptions'!$I$35-W19)</x:f>
        <x:v>200000</x:v>
      </x:c>
      <x:c r="X23" s="38" t="n">
        <x:f>MAX(0,'Assumptions'!$I$35-X19)</x:f>
        <x:v>200000</x:v>
      </x:c>
      <x:c r="Y23" s="38" t="n">
        <x:f>MAX(0,'Assumptions'!$I$35-Y19)</x:f>
        <x:v>200000</x:v>
      </x:c>
      <x:c r="Z23" s="38" t="n">
        <x:f>MAX(0,'Assumptions'!$I$35-Z19)</x:f>
        <x:v>200000</x:v>
      </x:c>
      <x:c r="AA23" s="38" t="n">
        <x:f>MAX(0,'Assumptions'!$I$35-AA19)</x:f>
        <x:v>200000</x:v>
      </x:c>
      <x:c r="AB23" s="38" t="n">
        <x:f>MAX(0,'Assumptions'!$I$35-AB19)</x:f>
        <x:v>200000</x:v>
      </x:c>
      <x:c r="AC23" s="38" t="n">
        <x:f>MAX(0,'Assumptions'!$I$35-AC19)</x:f>
        <x:v>200000</x:v>
      </x:c>
    </x:row>
    <x:row r="24" ht="22" customHeight="1">
      <x:c r="A24" s="1"/>
      <x:c r="B24" s="1"/>
      <x:c r="C24" s="5" t="str">
        <x:v>Facility draw</x:v>
      </x:c>
      <x:c r="D24" s="30" t="n">
        <x:f>MIN(D23,MAX(0,'Assumptions'!$G$10-D22))</x:f>
        <x:v>0</x:v>
      </x:c>
      <x:c r="E24" s="30" t="n">
        <x:f>MIN(E23,MAX(0,'Assumptions'!$G$10-E22))</x:f>
        <x:v>0</x:v>
      </x:c>
      <x:c r="F24" s="30" t="n">
        <x:f>MIN(F23,MAX(0,'Assumptions'!$G$10-F22))</x:f>
        <x:v>0</x:v>
      </x:c>
      <x:c r="G24" s="30" t="n">
        <x:f>MIN(G23,MAX(0,'Assumptions'!$G$10-G22))</x:f>
        <x:v>0</x:v>
      </x:c>
      <x:c r="H24" s="30" t="n">
        <x:f>MIN(H23,MAX(0,'Assumptions'!$G$10-H22))</x:f>
        <x:v>0</x:v>
      </x:c>
      <x:c r="I24" s="30" t="n">
        <x:f>MIN(I23,MAX(0,'Assumptions'!$G$10-I22))</x:f>
        <x:v>0</x:v>
      </x:c>
      <x:c r="J24" s="30" t="n">
        <x:f>MIN(J23,MAX(0,'Assumptions'!$G$10-J22))</x:f>
        <x:v>0</x:v>
      </x:c>
      <x:c r="K24" s="30" t="n">
        <x:f>MIN(K23,MAX(0,'Assumptions'!$G$10-K22))</x:f>
        <x:v>0</x:v>
      </x:c>
      <x:c r="L24" s="30" t="n">
        <x:f>MIN(L23,MAX(0,'Assumptions'!$G$10-L22))</x:f>
        <x:v>0</x:v>
      </x:c>
      <x:c r="M24" s="28" t="n">
        <x:f>MIN(M23,MAX(0,'Assumptions'!$G$10-M22))</x:f>
        <x:v>0</x:v>
      </x:c>
      <x:c r="N24" s="28" t="n">
        <x:f>MIN(N23,MAX(0,'Assumptions'!$G$10-N22))</x:f>
        <x:v>0</x:v>
      </x:c>
      <x:c r="O24" s="28" t="n">
        <x:f>MIN(O23,MAX(0,'Assumptions'!$G$10-O22))</x:f>
        <x:v>0</x:v>
      </x:c>
      <x:c r="P24" s="28" t="n">
        <x:f>MIN(P23,MAX(0,'Assumptions'!$G$10-P22))</x:f>
        <x:v>0</x:v>
      </x:c>
      <x:c r="Q24" s="38" t="n">
        <x:f>MIN(Q23,MAX(0,'Assumptions'!$G$10-Q22))</x:f>
        <x:v>0</x:v>
      </x:c>
      <x:c r="R24" s="38" t="n">
        <x:f>MIN(R23,MAX(0,'Assumptions'!$G$10-R22))</x:f>
        <x:v>0</x:v>
      </x:c>
      <x:c r="S24" s="38" t="n">
        <x:f>MIN(S23,MAX(0,'Assumptions'!$G$10-S22))</x:f>
        <x:v>0</x:v>
      </x:c>
      <x:c r="T24" s="38" t="n">
        <x:f>MIN(T23,MAX(0,'Assumptions'!$G$10-T22))</x:f>
        <x:v>0</x:v>
      </x:c>
      <x:c r="U24" s="38" t="n">
        <x:f>MIN(U23,MAX(0,'Assumptions'!$G$10-U22))</x:f>
        <x:v>0</x:v>
      </x:c>
      <x:c r="V24" s="38" t="n">
        <x:f>MIN(V23,MAX(0,'Assumptions'!$G$10-V22))</x:f>
        <x:v>0</x:v>
      </x:c>
      <x:c r="W24" s="38" t="n">
        <x:f>MIN(W23,MAX(0,'Assumptions'!$G$10-W22))</x:f>
        <x:v>0</x:v>
      </x:c>
      <x:c r="X24" s="38" t="n">
        <x:f>MIN(X23,MAX(0,'Assumptions'!$G$10-X22))</x:f>
        <x:v>0</x:v>
      </x:c>
      <x:c r="Y24" s="38" t="n">
        <x:f>MIN(Y23,MAX(0,'Assumptions'!$G$10-Y22))</x:f>
        <x:v>0</x:v>
      </x:c>
      <x:c r="Z24" s="38" t="n">
        <x:f>MIN(Z23,MAX(0,'Assumptions'!$G$10-Z22))</x:f>
        <x:v>0</x:v>
      </x:c>
      <x:c r="AA24" s="38" t="n">
        <x:f>MIN(AA23,MAX(0,'Assumptions'!$G$10-AA22))</x:f>
        <x:v>0</x:v>
      </x:c>
      <x:c r="AB24" s="38" t="n">
        <x:f>MIN(AB23,MAX(0,'Assumptions'!$G$10-AB22))</x:f>
        <x:v>0</x:v>
      </x:c>
      <x:c r="AC24" s="38" t="n">
        <x:f>MIN(AC23,MAX(0,'Assumptions'!$G$10-AC22))</x:f>
        <x:v>0</x:v>
      </x:c>
    </x:row>
    <x:row r="25" ht="22" customHeight="1">
      <x:c r="A25" s="1"/>
      <x:c r="B25" s="1"/>
      <x:c r="C25" s="1" t="str">
        <x:v>Facility repayment</x:v>
      </x:c>
      <x:c r="D25" s="28" t="n">
        <x:f>IF('Assumptions'!$I$42=1,MIN(D19,MAX(0,D22-'Assumptions'!$G$10)),0)</x:f>
        <x:v>0</x:v>
      </x:c>
      <x:c r="E25" s="28" t="n">
        <x:f>IF('Assumptions'!$I$42=1,MIN(E19,MAX(0,E22-'Assumptions'!$G$10)),0)</x:f>
        <x:v>0</x:v>
      </x:c>
      <x:c r="F25" s="28" t="n">
        <x:f>IF('Assumptions'!$I$42=1,MIN(F19,MAX(0,F22-'Assumptions'!$G$10)),0)</x:f>
        <x:v>0</x:v>
      </x:c>
      <x:c r="G25" s="28" t="n">
        <x:f>IF('Assumptions'!$I$42=1,MIN(G19,MAX(0,G22-'Assumptions'!$G$10)),0)</x:f>
        <x:v>0</x:v>
      </x:c>
      <x:c r="H25" s="28" t="n">
        <x:f>IF('Assumptions'!$I$42=1,MIN(H19,MAX(0,H22-'Assumptions'!$G$10)),0)</x:f>
        <x:v>0</x:v>
      </x:c>
      <x:c r="I25" s="28" t="n">
        <x:f>IF('Assumptions'!$I$42=1,MIN(I19,MAX(0,I22-'Assumptions'!$G$10)),0)</x:f>
        <x:v>0</x:v>
      </x:c>
      <x:c r="J25" s="28" t="n">
        <x:f>IF('Assumptions'!$I$42=1,MIN(J19,MAX(0,J22-'Assumptions'!$G$10)),0)</x:f>
        <x:v>0</x:v>
      </x:c>
      <x:c r="K25" s="28" t="n">
        <x:f>IF('Assumptions'!$I$42=1,MIN(K19,MAX(0,K22-'Assumptions'!$G$10)),0)</x:f>
        <x:v>0</x:v>
      </x:c>
      <x:c r="L25" s="28" t="n">
        <x:f>IF('Assumptions'!$I$42=1,MIN(L19,MAX(0,L22-'Assumptions'!$G$10)),0)</x:f>
        <x:v>0</x:v>
      </x:c>
      <x:c r="M25" s="28" t="n">
        <x:f>IF('Assumptions'!$I$42=1,MIN(M19,MAX(0,M22-'Assumptions'!$G$10)),0)</x:f>
        <x:v>0</x:v>
      </x:c>
      <x:c r="N25" s="28" t="n">
        <x:f>IF('Assumptions'!$I$42=1,MIN(N19,MAX(0,N22-'Assumptions'!$G$10)),0)</x:f>
        <x:v>0</x:v>
      </x:c>
      <x:c r="O25" s="28" t="n">
        <x:f>IF('Assumptions'!$I$42=1,MIN(O19,MAX(0,O22-'Assumptions'!$G$10)),0)</x:f>
        <x:v>0</x:v>
      </x:c>
      <x:c r="P25" s="28" t="n">
        <x:f>IF('Assumptions'!$I$42=1,MIN(P19,MAX(0,P22-'Assumptions'!$G$10)),0)</x:f>
        <x:v>0</x:v>
      </x:c>
      <x:c r="Q25" s="38" t="n">
        <x:f>IF('Assumptions'!$I$42=1,MIN(Q19,MAX(0,Q22-'Assumptions'!$G$10)),0)</x:f>
        <x:v>0</x:v>
      </x:c>
      <x:c r="R25" s="38" t="n">
        <x:f>IF('Assumptions'!$I$42=1,MIN(R19,MAX(0,R22-'Assumptions'!$G$10)),0)</x:f>
        <x:v>0</x:v>
      </x:c>
      <x:c r="S25" s="38" t="n">
        <x:f>IF('Assumptions'!$I$42=1,MIN(S19,MAX(0,S22-'Assumptions'!$G$10)),0)</x:f>
        <x:v>0</x:v>
      </x:c>
      <x:c r="T25" s="38" t="n">
        <x:f>IF('Assumptions'!$I$42=1,MIN(T19,MAX(0,T22-'Assumptions'!$G$10)),0)</x:f>
        <x:v>0</x:v>
      </x:c>
      <x:c r="U25" s="38" t="n">
        <x:f>IF('Assumptions'!$I$42=1,MIN(U19,MAX(0,U22-'Assumptions'!$G$10)),0)</x:f>
        <x:v>0</x:v>
      </x:c>
      <x:c r="V25" s="38" t="n">
        <x:f>IF('Assumptions'!$I$42=1,MIN(V19,MAX(0,V22-'Assumptions'!$G$10)),0)</x:f>
        <x:v>0</x:v>
      </x:c>
      <x:c r="W25" s="38" t="n">
        <x:f>IF('Assumptions'!$I$42=1,MIN(W19,MAX(0,W22-'Assumptions'!$G$10)),0)</x:f>
        <x:v>0</x:v>
      </x:c>
      <x:c r="X25" s="38" t="n">
        <x:f>IF('Assumptions'!$I$42=1,MIN(X19,MAX(0,X22-'Assumptions'!$G$10)),0)</x:f>
        <x:v>0</x:v>
      </x:c>
      <x:c r="Y25" s="38" t="n">
        <x:f>IF('Assumptions'!$I$42=1,MIN(Y19,MAX(0,Y22-'Assumptions'!$G$10)),0)</x:f>
        <x:v>0</x:v>
      </x:c>
      <x:c r="Z25" s="38" t="n">
        <x:f>IF('Assumptions'!$I$42=1,MIN(Z19,MAX(0,Z22-'Assumptions'!$G$10)),0)</x:f>
        <x:v>0</x:v>
      </x:c>
      <x:c r="AA25" s="38" t="n">
        <x:f>IF('Assumptions'!$I$42=1,MIN(AA19,MAX(0,AA22-'Assumptions'!$G$10)),0)</x:f>
        <x:v>0</x:v>
      </x:c>
      <x:c r="AB25" s="38" t="n">
        <x:f>IF('Assumptions'!$I$42=1,MIN(AB19,MAX(0,AB22-'Assumptions'!$G$10)),0)</x:f>
        <x:v>0</x:v>
      </x:c>
      <x:c r="AC25" s="38" t="n">
        <x:f>IF('Assumptions'!$I$42=1,MIN(AC19,MAX(0,AC22-'Assumptions'!$G$10)),0)</x:f>
        <x:v>0</x:v>
      </x:c>
    </x:row>
    <x:row r="26" ht="22" customHeight="1">
      <x:c r="A26" s="1"/>
      <x:c r="B26" s="1"/>
      <x:c r="C26" s="1" t="str">
        <x:v>Closing facility debt</x:v>
      </x:c>
      <x:c r="D26" s="29" t="n">
        <x:f>D19+D24-D25</x:f>
        <x:v>0</x:v>
      </x:c>
      <x:c r="E26" s="29" t="n">
        <x:f>E19+E24-E25</x:f>
        <x:v>0</x:v>
      </x:c>
      <x:c r="F26" s="29" t="n">
        <x:f>F19+F24-F25</x:f>
        <x:v>0</x:v>
      </x:c>
      <x:c r="G26" s="29" t="n">
        <x:f>G19+G24-G25</x:f>
        <x:v>0</x:v>
      </x:c>
      <x:c r="H26" s="29" t="n">
        <x:f>H19+H24-H25</x:f>
        <x:v>0</x:v>
      </x:c>
      <x:c r="I26" s="29" t="n">
        <x:f>I19+I24-I25</x:f>
        <x:v>0</x:v>
      </x:c>
      <x:c r="J26" s="29" t="n">
        <x:f>J19+J24-J25</x:f>
        <x:v>0</x:v>
      </x:c>
      <x:c r="K26" s="29" t="n">
        <x:f>K19+K24-K25</x:f>
        <x:v>0</x:v>
      </x:c>
      <x:c r="L26" s="29" t="n">
        <x:f>L19+L24-L25</x:f>
        <x:v>0</x:v>
      </x:c>
      <x:c r="M26" s="29" t="n">
        <x:f>M19+M24-M25</x:f>
        <x:v>0</x:v>
      </x:c>
      <x:c r="N26" s="29" t="n">
        <x:f>N19+N24-N25</x:f>
        <x:v>0</x:v>
      </x:c>
      <x:c r="O26" s="29" t="n">
        <x:f>O19+O24-O25</x:f>
        <x:v>0</x:v>
      </x:c>
      <x:c r="P26" s="29" t="n">
        <x:f>P19+P24-P25</x:f>
        <x:v>0</x:v>
      </x:c>
      <x:c r="Q26" s="37" t="n">
        <x:f>Q19+Q24-Q25</x:f>
        <x:v>0</x:v>
      </x:c>
      <x:c r="R26" s="37" t="n">
        <x:f>R19+R24-R25</x:f>
        <x:v>0</x:v>
      </x:c>
      <x:c r="S26" s="37" t="n">
        <x:f>S19+S24-S25</x:f>
        <x:v>0</x:v>
      </x:c>
      <x:c r="T26" s="37" t="n">
        <x:f>T19+T24-T25</x:f>
        <x:v>0</x:v>
      </x:c>
      <x:c r="U26" s="37" t="n">
        <x:f>U19+U24-U25</x:f>
        <x:v>0</x:v>
      </x:c>
      <x:c r="V26" s="37" t="n">
        <x:f>V19+V24-V25</x:f>
        <x:v>0</x:v>
      </x:c>
      <x:c r="W26" s="37" t="n">
        <x:f>W19+W24-W25</x:f>
        <x:v>0</x:v>
      </x:c>
      <x:c r="X26" s="37" t="n">
        <x:f>X19+X24-X25</x:f>
        <x:v>0</x:v>
      </x:c>
      <x:c r="Y26" s="37" t="n">
        <x:f>Y19+Y24-Y25</x:f>
        <x:v>0</x:v>
      </x:c>
      <x:c r="Z26" s="37" t="n">
        <x:f>Z19+Z24-Z25</x:f>
        <x:v>0</x:v>
      </x:c>
      <x:c r="AA26" s="37" t="n">
        <x:f>AA19+AA24-AA25</x:f>
        <x:v>0</x:v>
      </x:c>
      <x:c r="AB26" s="37" t="n">
        <x:f>AB19+AB24-AB25</x:f>
        <x:v>0</x:v>
      </x:c>
      <x:c r="AC26" s="37" t="n">
        <x:f>AC19+AC24-AC25</x:f>
        <x:v>0</x:v>
      </x:c>
    </x:row>
    <x:row r="27" ht="22" customHeight="1">
      <x:c r="A27" s="1"/>
      <x:c r="B27" s="1"/>
      <x:c r="C27" s="1" t="str">
        <x:v>Closing funded cash</x:v>
      </x:c>
      <x:c r="D27" s="29" t="n">
        <x:f>D22+D24-D25</x:f>
        <x:v>178980.76923076922</x:v>
      </x:c>
      <x:c r="E27" s="29" t="n">
        <x:f>E22+E24-E25</x:f>
        <x:v>189961.53846153844</x:v>
      </x:c>
      <x:c r="F27" s="29" t="n">
        <x:f>F22+F24-F25</x:f>
        <x:v>280942.3076923077</x:v>
      </x:c>
      <x:c r="G27" s="29" t="n">
        <x:f>G22+G24-G25</x:f>
        <x:v>383923.07692307694</x:v>
      </x:c>
      <x:c r="H27" s="29" t="n">
        <x:f>H22+H24-H25</x:f>
        <x:v>474903.8461538462</x:v>
      </x:c>
      <x:c r="I27" s="29" t="n">
        <x:f>I22+I24-I25</x:f>
        <x:v>487884.61538461543</x:v>
      </x:c>
      <x:c r="J27" s="29" t="n">
        <x:f>J22+J24-J25</x:f>
        <x:v>578865.3846153847</x:v>
      </x:c>
      <x:c r="K27" s="29" t="n">
        <x:f>K22+K24-K25</x:f>
        <x:v>681846.153846154</x:v>
      </x:c>
      <x:c r="L27" s="29" t="n">
        <x:f>L22+L24-L25</x:f>
        <x:v>772826.9230769232</x:v>
      </x:c>
      <x:c r="M27" s="29" t="n">
        <x:f>M22+M24-M25</x:f>
        <x:v>875807.6923076925</x:v>
      </x:c>
      <x:c r="N27" s="29" t="n">
        <x:f>N22+N24-N25</x:f>
        <x:v>966788.4615384617</x:v>
      </x:c>
      <x:c r="O27" s="29" t="n">
        <x:f>O22+O24-O25</x:f>
        <x:v>1069769.230769231</x:v>
      </x:c>
      <x:c r="P27" s="29" t="n">
        <x:f>P22+P24-P25</x:f>
        <x:v>1160750.0000000002</x:v>
      </x:c>
      <x:c r="Q27" s="37" t="n">
        <x:f>Q22+Q24-Q25</x:f>
        <x:v>1160730.7692307695</x:v>
      </x:c>
      <x:c r="R27" s="37" t="n">
        <x:f>R22+R24-R25</x:f>
        <x:v>1160711.5384615387</x:v>
      </x:c>
      <x:c r="S27" s="37" t="n">
        <x:f>S22+S24-S25</x:f>
        <x:v>1160692.307692308</x:v>
      </x:c>
      <x:c r="T27" s="37" t="n">
        <x:f>T22+T24-T25</x:f>
        <x:v>1160673.0769230772</x:v>
      </x:c>
      <x:c r="U27" s="37" t="n">
        <x:f>U22+U24-U25</x:f>
        <x:v>1160653.8461538465</x:v>
      </x:c>
      <x:c r="V27" s="37" t="n">
        <x:f>V22+V24-V25</x:f>
        <x:v>1160634.6153846157</x:v>
      </x:c>
      <x:c r="W27" s="37" t="n">
        <x:f>W22+W24-W25</x:f>
        <x:v>1160615.384615385</x:v>
      </x:c>
      <x:c r="X27" s="37" t="n">
        <x:f>X22+X24-X25</x:f>
        <x:v>1160596.1538461542</x:v>
      </x:c>
      <x:c r="Y27" s="37" t="n">
        <x:f>Y22+Y24-Y25</x:f>
        <x:v>1160576.9230769235</x:v>
      </x:c>
      <x:c r="Z27" s="37" t="n">
        <x:f>Z22+Z24-Z25</x:f>
        <x:v>1160557.6923076927</x:v>
      </x:c>
      <x:c r="AA27" s="37" t="n">
        <x:f>AA22+AA24-AA25</x:f>
        <x:v>1160538.461538462</x:v>
      </x:c>
      <x:c r="AB27" s="37" t="n">
        <x:f>AB22+AB24-AB25</x:f>
        <x:v>1160519.2307692312</x:v>
      </x:c>
      <x:c r="AC27" s="37" t="n">
        <x:f>AC22+AC24-AC25</x:f>
        <x:v>1160500.0000000005</x:v>
      </x:c>
    </x:row>
    <x:row r="28" ht="22" customHeight="1">
      <x:c r="A28" s="1"/>
      <x:c r="B28" s="1"/>
      <x:c r="C28" s="1" t="str">
        <x:v>Minimum cash floor</x:v>
      </x:c>
      <x:c r="D28" s="28" t="n">
        <x:f>'Assumptions'!$G$10</x:f>
        <x:v>100000</x:v>
      </x:c>
      <x:c r="E28" s="28" t="n">
        <x:f>'Assumptions'!$G$10</x:f>
        <x:v>100000</x:v>
      </x:c>
      <x:c r="F28" s="28" t="n">
        <x:f>'Assumptions'!$G$10</x:f>
        <x:v>100000</x:v>
      </x:c>
      <x:c r="G28" s="28" t="n">
        <x:f>'Assumptions'!$G$10</x:f>
        <x:v>100000</x:v>
      </x:c>
      <x:c r="H28" s="28" t="n">
        <x:f>'Assumptions'!$G$10</x:f>
        <x:v>100000</x:v>
      </x:c>
      <x:c r="I28" s="28" t="n">
        <x:f>'Assumptions'!$G$10</x:f>
        <x:v>100000</x:v>
      </x:c>
      <x:c r="J28" s="28" t="n">
        <x:f>'Assumptions'!$G$10</x:f>
        <x:v>100000</x:v>
      </x:c>
      <x:c r="K28" s="28" t="n">
        <x:f>'Assumptions'!$G$10</x:f>
        <x:v>100000</x:v>
      </x:c>
      <x:c r="L28" s="28" t="n">
        <x:f>'Assumptions'!$G$10</x:f>
        <x:v>100000</x:v>
      </x:c>
      <x:c r="M28" s="28" t="n">
        <x:f>'Assumptions'!$G$10</x:f>
        <x:v>100000</x:v>
      </x:c>
      <x:c r="N28" s="28" t="n">
        <x:f>'Assumptions'!$G$10</x:f>
        <x:v>100000</x:v>
      </x:c>
      <x:c r="O28" s="28" t="n">
        <x:f>'Assumptions'!$G$10</x:f>
        <x:v>100000</x:v>
      </x:c>
      <x:c r="P28" s="28" t="n">
        <x:f>'Assumptions'!$G$10</x:f>
        <x:v>100000</x:v>
      </x:c>
      <x:c r="Q28" s="38" t="n">
        <x:f>'Assumptions'!$G$10</x:f>
        <x:v>100000</x:v>
      </x:c>
      <x:c r="R28" s="38" t="n">
        <x:f>'Assumptions'!$G$10</x:f>
        <x:v>100000</x:v>
      </x:c>
      <x:c r="S28" s="38" t="n">
        <x:f>'Assumptions'!$G$10</x:f>
        <x:v>100000</x:v>
      </x:c>
      <x:c r="T28" s="38" t="n">
        <x:f>'Assumptions'!$G$10</x:f>
        <x:v>100000</x:v>
      </x:c>
      <x:c r="U28" s="38" t="n">
        <x:f>'Assumptions'!$G$10</x:f>
        <x:v>100000</x:v>
      </x:c>
      <x:c r="V28" s="38" t="n">
        <x:f>'Assumptions'!$G$10</x:f>
        <x:v>100000</x:v>
      </x:c>
      <x:c r="W28" s="38" t="n">
        <x:f>'Assumptions'!$G$10</x:f>
        <x:v>100000</x:v>
      </x:c>
      <x:c r="X28" s="38" t="n">
        <x:f>'Assumptions'!$G$10</x:f>
        <x:v>100000</x:v>
      </x:c>
      <x:c r="Y28" s="38" t="n">
        <x:f>'Assumptions'!$G$10</x:f>
        <x:v>100000</x:v>
      </x:c>
      <x:c r="Z28" s="38" t="n">
        <x:f>'Assumptions'!$G$10</x:f>
        <x:v>100000</x:v>
      </x:c>
      <x:c r="AA28" s="38" t="n">
        <x:f>'Assumptions'!$G$10</x:f>
        <x:v>100000</x:v>
      </x:c>
      <x:c r="AB28" s="38" t="n">
        <x:f>'Assumptions'!$G$10</x:f>
        <x:v>100000</x:v>
      </x:c>
      <x:c r="AC28" s="38" t="n">
        <x:f>'Assumptions'!$G$10</x:f>
        <x:v>100000</x:v>
      </x:c>
    </x:row>
    <x:row r="29" ht="22" customHeight="1">
      <x:c r="A29" s="1"/>
      <x:c r="B29" s="1"/>
      <x:c r="C29" s="1" t="str">
        <x:v>Residual funding shortfall</x:v>
      </x:c>
      <x:c r="D29" s="29" t="n">
        <x:f>MAX(0,D28-D27)</x:f>
        <x:v>0</x:v>
      </x:c>
      <x:c r="E29" s="29" t="n">
        <x:f>MAX(0,E28-E27)</x:f>
        <x:v>0</x:v>
      </x:c>
      <x:c r="F29" s="29" t="n">
        <x:f>MAX(0,F28-F27)</x:f>
        <x:v>0</x:v>
      </x:c>
      <x:c r="G29" s="29" t="n">
        <x:f>MAX(0,G28-G27)</x:f>
        <x:v>0</x:v>
      </x:c>
      <x:c r="H29" s="29" t="n">
        <x:f>MAX(0,H28-H27)</x:f>
        <x:v>0</x:v>
      </x:c>
      <x:c r="I29" s="29" t="n">
        <x:f>MAX(0,I28-I27)</x:f>
        <x:v>0</x:v>
      </x:c>
      <x:c r="J29" s="29" t="n">
        <x:f>MAX(0,J28-J27)</x:f>
        <x:v>0</x:v>
      </x:c>
      <x:c r="K29" s="29" t="n">
        <x:f>MAX(0,K28-K27)</x:f>
        <x:v>0</x:v>
      </x:c>
      <x:c r="L29" s="29" t="n">
        <x:f>MAX(0,L28-L27)</x:f>
        <x:v>0</x:v>
      </x:c>
      <x:c r="M29" s="29" t="n">
        <x:f>MAX(0,M28-M27)</x:f>
        <x:v>0</x:v>
      </x:c>
      <x:c r="N29" s="29" t="n">
        <x:f>MAX(0,N28-N27)</x:f>
        <x:v>0</x:v>
      </x:c>
      <x:c r="O29" s="29" t="n">
        <x:f>MAX(0,O28-O27)</x:f>
        <x:v>0</x:v>
      </x:c>
      <x:c r="P29" s="29" t="n">
        <x:f>MAX(0,P28-P27)</x:f>
        <x:v>0</x:v>
      </x:c>
      <x:c r="Q29" s="37" t="n">
        <x:f>MAX(0,Q28-Q27)</x:f>
        <x:v>0</x:v>
      </x:c>
      <x:c r="R29" s="37" t="n">
        <x:f>MAX(0,R28-R27)</x:f>
        <x:v>0</x:v>
      </x:c>
      <x:c r="S29" s="37" t="n">
        <x:f>MAX(0,S28-S27)</x:f>
        <x:v>0</x:v>
      </x:c>
      <x:c r="T29" s="37" t="n">
        <x:f>MAX(0,T28-T27)</x:f>
        <x:v>0</x:v>
      </x:c>
      <x:c r="U29" s="37" t="n">
        <x:f>MAX(0,U28-U27)</x:f>
        <x:v>0</x:v>
      </x:c>
      <x:c r="V29" s="37" t="n">
        <x:f>MAX(0,V28-V27)</x:f>
        <x:v>0</x:v>
      </x:c>
      <x:c r="W29" s="37" t="n">
        <x:f>MAX(0,W28-W27)</x:f>
        <x:v>0</x:v>
      </x:c>
      <x:c r="X29" s="37" t="n">
        <x:f>MAX(0,X28-X27)</x:f>
        <x:v>0</x:v>
      </x:c>
      <x:c r="Y29" s="37" t="n">
        <x:f>MAX(0,Y28-Y27)</x:f>
        <x:v>0</x:v>
      </x:c>
      <x:c r="Z29" s="37" t="n">
        <x:f>MAX(0,Z28-Z27)</x:f>
        <x:v>0</x:v>
      </x:c>
      <x:c r="AA29" s="37" t="n">
        <x:f>MAX(0,AA28-AA27)</x:f>
        <x:v>0</x:v>
      </x:c>
      <x:c r="AB29" s="37" t="n">
        <x:f>MAX(0,AB28-AB27)</x:f>
        <x:v>0</x:v>
      </x:c>
      <x:c r="AC29" s="37" t="n">
        <x:f>MAX(0,AC28-AC27)</x:f>
        <x:v>0</x:v>
      </x:c>
    </x:row>
    <x:row r="30" ht="22" customHeight="1">
      <x:c r="A30" s="1"/>
      <x:c r="B30" s="1"/>
      <x:c r="C30" s="1" t="str">
        <x:v>Unfunded cash without facility</x:v>
      </x:c>
      <x:c r="D30" s="28" t="n">
        <x:f>'Assumptions'!G9+D18</x:f>
        <x:v>179000</x:v>
      </x:c>
      <x:c r="E30" s="29" t="n">
        <x:f>D30+E18</x:f>
        <x:v>190000</x:v>
      </x:c>
      <x:c r="F30" s="29" t="n">
        <x:f>E30+F18</x:f>
        <x:v>281000</x:v>
      </x:c>
      <x:c r="G30" s="29" t="n">
        <x:f>F30+G18</x:f>
        <x:v>384000</x:v>
      </x:c>
      <x:c r="H30" s="29" t="n">
        <x:f>G30+H18</x:f>
        <x:v>475000</x:v>
      </x:c>
      <x:c r="I30" s="29" t="n">
        <x:f>H30+I18</x:f>
        <x:v>488000</x:v>
      </x:c>
      <x:c r="J30" s="29" t="n">
        <x:f>I30+J18</x:f>
        <x:v>579000</x:v>
      </x:c>
      <x:c r="K30" s="29" t="n">
        <x:f>J30+K18</x:f>
        <x:v>682000</x:v>
      </x:c>
      <x:c r="L30" s="29" t="n">
        <x:f>K30+L18</x:f>
        <x:v>773000</x:v>
      </x:c>
      <x:c r="M30" s="29" t="n">
        <x:f>L30+M18</x:f>
        <x:v>876000</x:v>
      </x:c>
      <x:c r="N30" s="29" t="n">
        <x:f>M30+N18</x:f>
        <x:v>967000</x:v>
      </x:c>
      <x:c r="O30" s="29" t="n">
        <x:f>N30+O18</x:f>
        <x:v>1070000</x:v>
      </x:c>
      <x:c r="P30" s="29" t="n">
        <x:f>O30+P18</x:f>
        <x:v>1161000</x:v>
      </x:c>
      <x:c r="Q30" s="37" t="n">
        <x:f>P30+Q18</x:f>
        <x:v>1161000</x:v>
      </x:c>
      <x:c r="R30" s="37" t="n">
        <x:f>Q30+R18</x:f>
        <x:v>1161000</x:v>
      </x:c>
      <x:c r="S30" s="37" t="n">
        <x:f>R30+S18</x:f>
        <x:v>1161000</x:v>
      </x:c>
      <x:c r="T30" s="37" t="n">
        <x:f>S30+T18</x:f>
        <x:v>1161000</x:v>
      </x:c>
      <x:c r="U30" s="37" t="n">
        <x:f>T30+U18</x:f>
        <x:v>1161000</x:v>
      </x:c>
      <x:c r="V30" s="37" t="n">
        <x:f>U30+V18</x:f>
        <x:v>1161000</x:v>
      </x:c>
      <x:c r="W30" s="37" t="n">
        <x:f>V30+W18</x:f>
        <x:v>1161000</x:v>
      </x:c>
      <x:c r="X30" s="37" t="n">
        <x:f>W30+X18</x:f>
        <x:v>1161000</x:v>
      </x:c>
      <x:c r="Y30" s="37" t="n">
        <x:f>X30+Y18</x:f>
        <x:v>1161000</x:v>
      </x:c>
      <x:c r="Z30" s="37" t="n">
        <x:f>Y30+Z18</x:f>
        <x:v>1161000</x:v>
      </x:c>
      <x:c r="AA30" s="37" t="n">
        <x:f>Z30+AA18</x:f>
        <x:v>1161000</x:v>
      </x:c>
      <x:c r="AB30" s="37" t="n">
        <x:f>AA30+AB18</x:f>
        <x:v>1161000</x:v>
      </x:c>
      <x:c r="AC30" s="37" t="n">
        <x:f>AB30+AC18</x:f>
        <x:v>1161000</x:v>
      </x:c>
    </x:row>
    <x:row r="31" ht="22" customHeight="1">
      <x:c r="A31" s="1"/>
      <x:c r="B31" s="1"/>
      <x:c r="C31" s="1" t="str">
        <x:v>Cumulative net funding costs</x:v>
      </x:c>
      <x:c r="D31" s="29" t="n">
        <x:f>SUM(D20:D21)</x:f>
        <x:v>19.23076923076923</x:v>
      </x:c>
      <x:c r="E31" s="29" t="n">
        <x:f>D31+SUM(E20:E21)</x:f>
        <x:v>38.46153846153846</x:v>
      </x:c>
      <x:c r="F31" s="29" t="n">
        <x:f>E31+SUM(F20:F21)</x:f>
        <x:v>57.69230769230769</x:v>
      </x:c>
      <x:c r="G31" s="29" t="n">
        <x:f>F31+SUM(G20:G21)</x:f>
        <x:v>76.92307692307692</x:v>
      </x:c>
      <x:c r="H31" s="29" t="n">
        <x:f>G31+SUM(H20:H21)</x:f>
        <x:v>96.15384615384615</x:v>
      </x:c>
      <x:c r="I31" s="29" t="n">
        <x:f>H31+SUM(I20:I21)</x:f>
        <x:v>115.38461538461537</x:v>
      </x:c>
      <x:c r="J31" s="29" t="n">
        <x:f>I31+SUM(J20:J21)</x:f>
        <x:v>134.6153846153846</x:v>
      </x:c>
      <x:c r="K31" s="29" t="n">
        <x:f>J31+SUM(K20:K21)</x:f>
        <x:v>153.84615384615384</x:v>
      </x:c>
      <x:c r="L31" s="29" t="n">
        <x:f>K31+SUM(L20:L21)</x:f>
        <x:v>173.07692307692307</x:v>
      </x:c>
      <x:c r="M31" s="29" t="n">
        <x:f>L31+SUM(M20:M21)</x:f>
        <x:v>192.3076923076923</x:v>
      </x:c>
      <x:c r="N31" s="29" t="n">
        <x:f>M31+SUM(N20:N21)</x:f>
        <x:v>211.53846153846152</x:v>
      </x:c>
      <x:c r="O31" s="29" t="n">
        <x:f>N31+SUM(O20:O21)</x:f>
        <x:v>230.76923076923075</x:v>
      </x:c>
      <x:c r="P31" s="29" t="n">
        <x:f>O31+SUM(P20:P21)</x:f>
        <x:v>249.99999999999997</x:v>
      </x:c>
      <x:c r="Q31" s="37" t="n">
        <x:f>P31+SUM(Q20:Q21)</x:f>
        <x:v>269.2307692307692</x:v>
      </x:c>
      <x:c r="R31" s="37" t="n">
        <x:f>Q31+SUM(R20:R21)</x:f>
        <x:v>288.46153846153845</x:v>
      </x:c>
      <x:c r="S31" s="37" t="n">
        <x:f>R31+SUM(S20:S21)</x:f>
        <x:v>307.6923076923077</x:v>
      </x:c>
      <x:c r="T31" s="37" t="n">
        <x:f>S31+SUM(T20:T21)</x:f>
        <x:v>326.9230769230769</x:v>
      </x:c>
      <x:c r="U31" s="37" t="n">
        <x:f>T31+SUM(U20:U21)</x:f>
        <x:v>346.15384615384613</x:v>
      </x:c>
      <x:c r="V31" s="37" t="n">
        <x:f>U31+SUM(V20:V21)</x:f>
        <x:v>365.38461538461536</x:v>
      </x:c>
      <x:c r="W31" s="37" t="n">
        <x:f>V31+SUM(W20:W21)</x:f>
        <x:v>384.6153846153846</x:v>
      </x:c>
      <x:c r="X31" s="37" t="n">
        <x:f>W31+SUM(X20:X21)</x:f>
        <x:v>403.8461538461538</x:v>
      </x:c>
      <x:c r="Y31" s="37" t="n">
        <x:f>X31+SUM(Y20:Y21)</x:f>
        <x:v>423.07692307692304</x:v>
      </x:c>
      <x:c r="Z31" s="37" t="n">
        <x:f>Y31+SUM(Z20:Z21)</x:f>
        <x:v>442.30769230769226</x:v>
      </x:c>
      <x:c r="AA31" s="37" t="n">
        <x:f>Z31+SUM(AA20:AA21)</x:f>
        <x:v>461.5384615384615</x:v>
      </x:c>
      <x:c r="AB31" s="37" t="n">
        <x:f>AA31+SUM(AB20:AB21)</x:f>
        <x:v>480.7692307692307</x:v>
      </x:c>
      <x:c r="AC31" s="37" t="n">
        <x:f>AB31+SUM(AC20:AC21)</x:f>
        <x:v>499.99999999999994</x:v>
      </x:c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</x:sheetData>
  <x:mergeCells>
    <x:mergeCell ref="D4:F4"/>
  </x:mergeCells>
  <x:conditionalFormatting sqref="D27:AC27">
    <x:cfRule type="expression" dxfId="1" priority="1">
      <x:formula>D27&lt;D28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4" hidden="0" customWidth="1"/>
    <x:col min="12" max="12" width="2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2" t="str">
        <x:v>Synthetic open receivables</x:v>
      </x:c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9.599998474121094" hidden="0" customHeight="1">
      <x:c r="A6" s="1"/>
      <x:c r="B6" s="1"/>
      <x:c r="C6" s="14" t="str">
        <x:v>Invoice ID</x:v>
      </x:c>
      <x:c r="D6" s="14" t="str">
        <x:v>Account</x:v>
      </x:c>
      <x:c r="E6" s="14" t="str">
        <x:v>Base week</x:v>
      </x:c>
      <x:c r="F6" s="14" t="str">
        <x:v>USD amount</x:v>
      </x:c>
      <x:c r="G6" s="14" t="str">
        <x:v>Eligible acceleration</x:v>
      </x:c>
      <x:c r="H6" s="14" t="str">
        <x:v>Active week</x:v>
      </x:c>
      <x:c r="I6" s="14" t="str">
        <x:v>Receipt date</x:v>
      </x:c>
      <x:c r="J6" s="14" t="str">
        <x:v>At-risk aging</x:v>
      </x:c>
      <x:c r="K6" s="23" t="str">
        <x:v>Original due date</x:v>
      </x:c>
      <x:c r="L6" s="23" t="str">
        <x:v>Days past due at 5-Oct</x:v>
      </x:c>
    </x:row>
    <x:row r="7" ht="15" hidden="0" customHeight="1">
      <x:c r="A7" s="1"/>
      <x:c r="B7" s="1"/>
      <x:c r="C7" s="5" t="str">
        <x:v>INV-1001</x:v>
      </x:c>
      <x:c r="D7" s="5" t="str">
        <x:v>Synthetic account 1</x:v>
      </x:c>
      <x:c r="E7" s="5" t="n">
        <x:v>1</x:v>
      </x:c>
      <x:c r="F7" s="18" t="n">
        <x:v>44000</x:v>
      </x:c>
      <x:c r="G7" s="5" t="n">
        <x:v>0</x:v>
      </x:c>
      <x:c r="H7" s="16" t="n">
        <x:f>MAX(1,E7+'Assumptions'!$D$8-G7*'Assumptions'!$D$13)</x:f>
        <x:v>1</x:v>
      </x:c>
      <x:c r="I7" s="19" t="n">
        <x:f>DATE(2026,10,5)+7*(H7-1)</x:f>
        <x:v>46300</x:v>
      </x:c>
      <x:c r="J7" s="5" t="str">
        <x:v>Current at opening</x:v>
      </x:c>
      <x:c r="K7" s="25" t="d">
        <x:v>2026-10-05T00:00:00.000Z</x:v>
      </x:c>
      <x:c r="L7" s="26" t="n">
        <x:f>MAX(0,DATE(2026,10,5)-K7)</x:f>
        <x:v>0</x:v>
      </x:c>
    </x:row>
    <x:row r="8" ht="15" hidden="0" customHeight="1">
      <x:c r="A8" s="1"/>
      <x:c r="B8" s="1"/>
      <x:c r="C8" s="5" t="str">
        <x:v>INV-1002</x:v>
      </x:c>
      <x:c r="D8" s="5" t="str">
        <x:v>Synthetic account 2</x:v>
      </x:c>
      <x:c r="E8" s="5" t="n">
        <x:v>1</x:v>
      </x:c>
      <x:c r="F8" s="18" t="n">
        <x:v>47000</x:v>
      </x:c>
      <x:c r="G8" s="5" t="n">
        <x:v>0</x:v>
      </x:c>
      <x:c r="H8" s="16" t="n">
        <x:f>MAX(1,E8+'Assumptions'!$D$8-G8*'Assumptions'!$D$13)</x:f>
        <x:v>1</x:v>
      </x:c>
      <x:c r="I8" s="19" t="n">
        <x:f>DATE(2026,10,5)+7*(H8-1)</x:f>
        <x:v>46300</x:v>
      </x:c>
      <x:c r="J8" s="5" t="str">
        <x:v>Current at opening</x:v>
      </x:c>
      <x:c r="K8" s="25" t="d">
        <x:v>2026-10-05T00:00:00.000Z</x:v>
      </x:c>
      <x:c r="L8" s="26" t="n">
        <x:f>MAX(0,DATE(2026,10,5)-K8)</x:f>
        <x:v>0</x:v>
      </x:c>
    </x:row>
    <x:row r="9" ht="15" hidden="0" customHeight="1">
      <x:c r="A9" s="1"/>
      <x:c r="B9" s="1"/>
      <x:c r="C9" s="5" t="str">
        <x:v>INV-1003</x:v>
      </x:c>
      <x:c r="D9" s="5" t="str">
        <x:v>Synthetic account 3</x:v>
      </x:c>
      <x:c r="E9" s="5" t="n">
        <x:v>2</x:v>
      </x:c>
      <x:c r="F9" s="18" t="n">
        <x:v>50000</x:v>
      </x:c>
      <x:c r="G9" s="5" t="n">
        <x:v>0</x:v>
      </x:c>
      <x:c r="H9" s="16" t="n">
        <x:f>MAX(1,E9+'Assumptions'!$D$8-G9*'Assumptions'!$D$13)</x:f>
        <x:v>2</x:v>
      </x:c>
      <x:c r="I9" s="19" t="n">
        <x:f>DATE(2026,10,5)+7*(H9-1)</x:f>
        <x:v>46307</x:v>
      </x:c>
      <x:c r="J9" s="5" t="str">
        <x:v>Current at opening</x:v>
      </x:c>
      <x:c r="K9" s="25" t="d">
        <x:v>2026-10-12T00:00:00.000Z</x:v>
      </x:c>
      <x:c r="L9" s="26" t="n">
        <x:f>MAX(0,DATE(2026,10,5)-K9)</x:f>
        <x:v>0</x:v>
      </x:c>
    </x:row>
    <x:row r="10" ht="15" hidden="0" customHeight="1">
      <x:c r="A10" s="1"/>
      <x:c r="B10" s="1"/>
      <x:c r="C10" s="5" t="str">
        <x:v>INV-1004</x:v>
      </x:c>
      <x:c r="D10" s="5" t="str">
        <x:v>Synthetic account 4</x:v>
      </x:c>
      <x:c r="E10" s="5" t="n">
        <x:v>2</x:v>
      </x:c>
      <x:c r="F10" s="18" t="n">
        <x:v>53000</x:v>
      </x:c>
      <x:c r="G10" s="5" t="n">
        <x:v>0</x:v>
      </x:c>
      <x:c r="H10" s="16" t="n">
        <x:f>MAX(1,E10+'Assumptions'!$D$8-G10*'Assumptions'!$D$13)</x:f>
        <x:v>2</x:v>
      </x:c>
      <x:c r="I10" s="19" t="n">
        <x:f>DATE(2026,10,5)+7*(H10-1)</x:f>
        <x:v>46307</x:v>
      </x:c>
      <x:c r="J10" s="5" t="str">
        <x:v>Current at opening</x:v>
      </x:c>
      <x:c r="K10" s="25" t="d">
        <x:v>2026-10-12T00:00:00.000Z</x:v>
      </x:c>
      <x:c r="L10" s="26" t="n">
        <x:f>MAX(0,DATE(2026,10,5)-K10)</x:f>
        <x:v>0</x:v>
      </x:c>
    </x:row>
    <x:row r="11" ht="15" hidden="0" customHeight="1">
      <x:c r="A11" s="1"/>
      <x:c r="B11" s="1"/>
      <x:c r="C11" s="5" t="str">
        <x:v>INV-1005</x:v>
      </x:c>
      <x:c r="D11" s="5" t="str">
        <x:v>Synthetic account 5</x:v>
      </x:c>
      <x:c r="E11" s="5" t="n">
        <x:v>3</x:v>
      </x:c>
      <x:c r="F11" s="18" t="n">
        <x:v>44000</x:v>
      </x:c>
      <x:c r="G11" s="5" t="n">
        <x:v>0</x:v>
      </x:c>
      <x:c r="H11" s="16" t="n">
        <x:f>MAX(1,E11+'Assumptions'!$D$8-G11*'Assumptions'!$D$13)</x:f>
        <x:v>3</x:v>
      </x:c>
      <x:c r="I11" s="19" t="n">
        <x:f>DATE(2026,10,5)+7*(H11-1)</x:f>
        <x:v>46314</x:v>
      </x:c>
      <x:c r="J11" s="5" t="str">
        <x:v>Current at opening</x:v>
      </x:c>
      <x:c r="K11" s="25" t="d">
        <x:v>2026-10-19T00:00:00.000Z</x:v>
      </x:c>
      <x:c r="L11" s="26" t="n">
        <x:f>MAX(0,DATE(2026,10,5)-K11)</x:f>
        <x:v>0</x:v>
      </x:c>
    </x:row>
    <x:row r="12" ht="15" hidden="0" customHeight="1">
      <x:c r="A12" s="1"/>
      <x:c r="B12" s="1"/>
      <x:c r="C12" s="5" t="str">
        <x:v>INV-1006</x:v>
      </x:c>
      <x:c r="D12" s="5" t="str">
        <x:v>Synthetic account 1</x:v>
      </x:c>
      <x:c r="E12" s="5" t="n">
        <x:v>3</x:v>
      </x:c>
      <x:c r="F12" s="18" t="n">
        <x:v>47000</x:v>
      </x:c>
      <x:c r="G12" s="5" t="n">
        <x:v>0</x:v>
      </x:c>
      <x:c r="H12" s="16" t="n">
        <x:f>MAX(1,E12+'Assumptions'!$D$8-G12*'Assumptions'!$D$13)</x:f>
        <x:v>3</x:v>
      </x:c>
      <x:c r="I12" s="19" t="n">
        <x:f>DATE(2026,10,5)+7*(H12-1)</x:f>
        <x:v>46314</x:v>
      </x:c>
      <x:c r="J12" s="5" t="str">
        <x:v>Current at opening</x:v>
      </x:c>
      <x:c r="K12" s="25" t="d">
        <x:v>2026-10-19T00:00:00.000Z</x:v>
      </x:c>
      <x:c r="L12" s="26" t="n">
        <x:f>MAX(0,DATE(2026,10,5)-K12)</x:f>
        <x:v>0</x:v>
      </x:c>
    </x:row>
    <x:row r="13" ht="15" hidden="0" customHeight="1">
      <x:c r="A13" s="1"/>
      <x:c r="B13" s="1"/>
      <x:c r="C13" s="5" t="str">
        <x:v>INV-1007</x:v>
      </x:c>
      <x:c r="D13" s="5" t="str">
        <x:v>Synthetic account 2</x:v>
      </x:c>
      <x:c r="E13" s="5" t="n">
        <x:v>4</x:v>
      </x:c>
      <x:c r="F13" s="18" t="n">
        <x:v>50000</x:v>
      </x:c>
      <x:c r="G13" s="5" t="n">
        <x:v>1</x:v>
      </x:c>
      <x:c r="H13" s="16" t="n">
        <x:f>MAX(1,E13+'Assumptions'!$D$8-G13*'Assumptions'!$D$13)</x:f>
        <x:v>4</x:v>
      </x:c>
      <x:c r="I13" s="19" t="n">
        <x:f>DATE(2026,10,5)+7*(H13-1)</x:f>
        <x:v>46321</x:v>
      </x:c>
      <x:c r="J13" s="5" t="str">
        <x:v>Overdue at opening</x:v>
      </x:c>
      <x:c r="K13" s="25" t="d">
        <x:v>2026-09-21T00:00:00.000Z</x:v>
      </x:c>
      <x:c r="L13" s="26" t="n">
        <x:f>MAX(0,DATE(2026,10,5)-K13)</x:f>
        <x:v>14</x:v>
      </x:c>
    </x:row>
    <x:row r="14" ht="15" hidden="0" customHeight="1">
      <x:c r="A14" s="1"/>
      <x:c r="B14" s="1"/>
      <x:c r="C14" s="5" t="str">
        <x:v>INV-1008</x:v>
      </x:c>
      <x:c r="D14" s="5" t="str">
        <x:v>Synthetic account 3</x:v>
      </x:c>
      <x:c r="E14" s="5" t="n">
        <x:v>4</x:v>
      </x:c>
      <x:c r="F14" s="18" t="n">
        <x:v>53000</x:v>
      </x:c>
      <x:c r="G14" s="5" t="n">
        <x:v>1</x:v>
      </x:c>
      <x:c r="H14" s="16" t="n">
        <x:f>MAX(1,E14+'Assumptions'!$D$8-G14*'Assumptions'!$D$13)</x:f>
        <x:v>4</x:v>
      </x:c>
      <x:c r="I14" s="19" t="n">
        <x:f>DATE(2026,10,5)+7*(H14-1)</x:f>
        <x:v>46321</x:v>
      </x:c>
      <x:c r="J14" s="5" t="str">
        <x:v>Overdue at opening</x:v>
      </x:c>
      <x:c r="K14" s="25" t="d">
        <x:v>2026-09-21T00:00:00.000Z</x:v>
      </x:c>
      <x:c r="L14" s="26" t="n">
        <x:f>MAX(0,DATE(2026,10,5)-K14)</x:f>
        <x:v>14</x:v>
      </x:c>
    </x:row>
    <x:row r="15" ht="15" hidden="0" customHeight="1">
      <x:c r="A15" s="1"/>
      <x:c r="B15" s="1"/>
      <x:c r="C15" s="5" t="str">
        <x:v>INV-1009</x:v>
      </x:c>
      <x:c r="D15" s="5" t="str">
        <x:v>Synthetic account 4</x:v>
      </x:c>
      <x:c r="E15" s="5" t="n">
        <x:v>5</x:v>
      </x:c>
      <x:c r="F15" s="18" t="n">
        <x:v>44000</x:v>
      </x:c>
      <x:c r="G15" s="5" t="n">
        <x:v>1</x:v>
      </x:c>
      <x:c r="H15" s="16" t="n">
        <x:f>MAX(1,E15+'Assumptions'!$D$8-G15*'Assumptions'!$D$13)</x:f>
        <x:v>5</x:v>
      </x:c>
      <x:c r="I15" s="19" t="n">
        <x:f>DATE(2026,10,5)+7*(H15-1)</x:f>
        <x:v>46328</x:v>
      </x:c>
      <x:c r="J15" s="5" t="str">
        <x:v>Overdue at opening</x:v>
      </x:c>
      <x:c r="K15" s="25" t="d">
        <x:v>2026-09-28T00:00:00.000Z</x:v>
      </x:c>
      <x:c r="L15" s="26" t="n">
        <x:f>MAX(0,DATE(2026,10,5)-K15)</x:f>
        <x:v>7</x:v>
      </x:c>
    </x:row>
    <x:row r="16" ht="15" hidden="0" customHeight="1">
      <x:c r="A16" s="1"/>
      <x:c r="B16" s="1"/>
      <x:c r="C16" s="5" t="str">
        <x:v>INV-1010</x:v>
      </x:c>
      <x:c r="D16" s="5" t="str">
        <x:v>Synthetic account 5</x:v>
      </x:c>
      <x:c r="E16" s="5" t="n">
        <x:v>5</x:v>
      </x:c>
      <x:c r="F16" s="18" t="n">
        <x:v>47000</x:v>
      </x:c>
      <x:c r="G16" s="5" t="n">
        <x:v>1</x:v>
      </x:c>
      <x:c r="H16" s="16" t="n">
        <x:f>MAX(1,E16+'Assumptions'!$D$8-G16*'Assumptions'!$D$13)</x:f>
        <x:v>5</x:v>
      </x:c>
      <x:c r="I16" s="19" t="n">
        <x:f>DATE(2026,10,5)+7*(H16-1)</x:f>
        <x:v>46328</x:v>
      </x:c>
      <x:c r="J16" s="5" t="str">
        <x:v>Overdue at opening</x:v>
      </x:c>
      <x:c r="K16" s="25" t="d">
        <x:v>2026-09-28T00:00:00.000Z</x:v>
      </x:c>
      <x:c r="L16" s="26" t="n">
        <x:f>MAX(0,DATE(2026,10,5)-K16)</x:f>
        <x:v>7</x:v>
      </x:c>
    </x:row>
    <x:row r="17" ht="15" hidden="0" customHeight="1">
      <x:c r="A17" s="1"/>
      <x:c r="B17" s="1"/>
      <x:c r="C17" s="5" t="str">
        <x:v>INV-1011</x:v>
      </x:c>
      <x:c r="D17" s="5" t="str">
        <x:v>Synthetic account 1</x:v>
      </x:c>
      <x:c r="E17" s="5" t="n">
        <x:v>6</x:v>
      </x:c>
      <x:c r="F17" s="18" t="n">
        <x:v>50000</x:v>
      </x:c>
      <x:c r="G17" s="5" t="n">
        <x:v>0</x:v>
      </x:c>
      <x:c r="H17" s="16" t="n">
        <x:f>MAX(1,E17+'Assumptions'!$D$8-G17*'Assumptions'!$D$13)</x:f>
        <x:v>6</x:v>
      </x:c>
      <x:c r="I17" s="19" t="n">
        <x:f>DATE(2026,10,5)+7*(H17-1)</x:f>
        <x:v>46335</x:v>
      </x:c>
      <x:c r="J17" s="5" t="str">
        <x:v>Current at opening</x:v>
      </x:c>
      <x:c r="K17" s="25" t="d">
        <x:v>2026-11-09T00:00:00.000Z</x:v>
      </x:c>
      <x:c r="L17" s="26" t="n">
        <x:f>MAX(0,DATE(2026,10,5)-K17)</x:f>
        <x:v>0</x:v>
      </x:c>
    </x:row>
    <x:row r="18" ht="15" hidden="0" customHeight="1">
      <x:c r="A18" s="1"/>
      <x:c r="B18" s="1"/>
      <x:c r="C18" s="5" t="str">
        <x:v>INV-1012</x:v>
      </x:c>
      <x:c r="D18" s="5" t="str">
        <x:v>Synthetic account 2</x:v>
      </x:c>
      <x:c r="E18" s="5" t="n">
        <x:v>6</x:v>
      </x:c>
      <x:c r="F18" s="18" t="n">
        <x:v>53000</x:v>
      </x:c>
      <x:c r="G18" s="5" t="n">
        <x:v>0</x:v>
      </x:c>
      <x:c r="H18" s="16" t="n">
        <x:f>MAX(1,E18+'Assumptions'!$D$8-G18*'Assumptions'!$D$13)</x:f>
        <x:v>6</x:v>
      </x:c>
      <x:c r="I18" s="19" t="n">
        <x:f>DATE(2026,10,5)+7*(H18-1)</x:f>
        <x:v>46335</x:v>
      </x:c>
      <x:c r="J18" s="5" t="str">
        <x:v>Current at opening</x:v>
      </x:c>
      <x:c r="K18" s="25" t="d">
        <x:v>2026-11-09T00:00:00.000Z</x:v>
      </x:c>
      <x:c r="L18" s="26" t="n">
        <x:f>MAX(0,DATE(2026,10,5)-K18)</x:f>
        <x:v>0</x:v>
      </x:c>
    </x:row>
    <x:row r="19" ht="15" hidden="0" customHeight="1">
      <x:c r="A19" s="1"/>
      <x:c r="B19" s="1"/>
      <x:c r="C19" s="5" t="str">
        <x:v>INV-1013</x:v>
      </x:c>
      <x:c r="D19" s="5" t="str">
        <x:v>Synthetic account 3</x:v>
      </x:c>
      <x:c r="E19" s="5" t="n">
        <x:v>7</x:v>
      </x:c>
      <x:c r="F19" s="18" t="n">
        <x:v>44000</x:v>
      </x:c>
      <x:c r="G19" s="5" t="n">
        <x:v>0</x:v>
      </x:c>
      <x:c r="H19" s="16" t="n">
        <x:f>MAX(1,E19+'Assumptions'!$D$8-G19*'Assumptions'!$D$13)</x:f>
        <x:v>7</x:v>
      </x:c>
      <x:c r="I19" s="19" t="n">
        <x:f>DATE(2026,10,5)+7*(H19-1)</x:f>
        <x:v>46342</x:v>
      </x:c>
      <x:c r="J19" s="5" t="str">
        <x:v>Current at opening</x:v>
      </x:c>
      <x:c r="K19" s="25" t="d">
        <x:v>2026-11-16T00:00:00.000Z</x:v>
      </x:c>
      <x:c r="L19" s="26" t="n">
        <x:f>MAX(0,DATE(2026,10,5)-K19)</x:f>
        <x:v>0</x:v>
      </x:c>
    </x:row>
    <x:row r="20" ht="15" hidden="0" customHeight="1">
      <x:c r="A20" s="1"/>
      <x:c r="B20" s="1"/>
      <x:c r="C20" s="5" t="str">
        <x:v>INV-1014</x:v>
      </x:c>
      <x:c r="D20" s="5" t="str">
        <x:v>Synthetic account 4</x:v>
      </x:c>
      <x:c r="E20" s="5" t="n">
        <x:v>7</x:v>
      </x:c>
      <x:c r="F20" s="18" t="n">
        <x:v>47000</x:v>
      </x:c>
      <x:c r="G20" s="5" t="n">
        <x:v>0</x:v>
      </x:c>
      <x:c r="H20" s="16" t="n">
        <x:f>MAX(1,E20+'Assumptions'!$D$8-G20*'Assumptions'!$D$13)</x:f>
        <x:v>7</x:v>
      </x:c>
      <x:c r="I20" s="19" t="n">
        <x:f>DATE(2026,10,5)+7*(H20-1)</x:f>
        <x:v>46342</x:v>
      </x:c>
      <x:c r="J20" s="5" t="str">
        <x:v>Current at opening</x:v>
      </x:c>
      <x:c r="K20" s="25" t="d">
        <x:v>2026-11-16T00:00:00.000Z</x:v>
      </x:c>
      <x:c r="L20" s="26" t="n">
        <x:f>MAX(0,DATE(2026,10,5)-K20)</x:f>
        <x:v>0</x:v>
      </x:c>
    </x:row>
    <x:row r="21" ht="15" hidden="0" customHeight="1">
      <x:c r="A21" s="1"/>
      <x:c r="B21" s="1"/>
      <x:c r="C21" s="5" t="str">
        <x:v>INV-1015</x:v>
      </x:c>
      <x:c r="D21" s="5" t="str">
        <x:v>Synthetic account 5</x:v>
      </x:c>
      <x:c r="E21" s="5" t="n">
        <x:v>8</x:v>
      </x:c>
      <x:c r="F21" s="18" t="n">
        <x:v>50000</x:v>
      </x:c>
      <x:c r="G21" s="5" t="n">
        <x:v>0</x:v>
      </x:c>
      <x:c r="H21" s="16" t="n">
        <x:f>MAX(1,E21+'Assumptions'!$D$8-G21*'Assumptions'!$D$13)</x:f>
        <x:v>8</x:v>
      </x:c>
      <x:c r="I21" s="19" t="n">
        <x:f>DATE(2026,10,5)+7*(H21-1)</x:f>
        <x:v>46349</x:v>
      </x:c>
      <x:c r="J21" s="5" t="str">
        <x:v>Current at opening</x:v>
      </x:c>
      <x:c r="K21" s="25" t="d">
        <x:v>2026-11-23T00:00:00.000Z</x:v>
      </x:c>
      <x:c r="L21" s="26" t="n">
        <x:f>MAX(0,DATE(2026,10,5)-K21)</x:f>
        <x:v>0</x:v>
      </x:c>
    </x:row>
    <x:row r="22" ht="15" hidden="0" customHeight="1">
      <x:c r="A22" s="1"/>
      <x:c r="B22" s="1"/>
      <x:c r="C22" s="5" t="str">
        <x:v>INV-1016</x:v>
      </x:c>
      <x:c r="D22" s="5" t="str">
        <x:v>Synthetic account 1</x:v>
      </x:c>
      <x:c r="E22" s="5" t="n">
        <x:v>8</x:v>
      </x:c>
      <x:c r="F22" s="18" t="n">
        <x:v>53000</x:v>
      </x:c>
      <x:c r="G22" s="5" t="n">
        <x:v>0</x:v>
      </x:c>
      <x:c r="H22" s="16" t="n">
        <x:f>MAX(1,E22+'Assumptions'!$D$8-G22*'Assumptions'!$D$13)</x:f>
        <x:v>8</x:v>
      </x:c>
      <x:c r="I22" s="19" t="n">
        <x:f>DATE(2026,10,5)+7*(H22-1)</x:f>
        <x:v>46349</x:v>
      </x:c>
      <x:c r="J22" s="5" t="str">
        <x:v>Current at opening</x:v>
      </x:c>
      <x:c r="K22" s="25" t="d">
        <x:v>2026-11-23T00:00:00.000Z</x:v>
      </x:c>
      <x:c r="L22" s="26" t="n">
        <x:f>MAX(0,DATE(2026,10,5)-K22)</x:f>
        <x:v>0</x:v>
      </x:c>
    </x:row>
    <x:row r="23" ht="15" hidden="0" customHeight="1">
      <x:c r="A23" s="1"/>
      <x:c r="B23" s="1"/>
      <x:c r="C23" s="5" t="str">
        <x:v>INV-1017</x:v>
      </x:c>
      <x:c r="D23" s="5" t="str">
        <x:v>Synthetic account 2</x:v>
      </x:c>
      <x:c r="E23" s="5" t="n">
        <x:v>9</x:v>
      </x:c>
      <x:c r="F23" s="18" t="n">
        <x:v>44000</x:v>
      </x:c>
      <x:c r="G23" s="5" t="n">
        <x:v>0</x:v>
      </x:c>
      <x:c r="H23" s="16" t="n">
        <x:f>MAX(1,E23+'Assumptions'!$D$8-G23*'Assumptions'!$D$13)</x:f>
        <x:v>9</x:v>
      </x:c>
      <x:c r="I23" s="19" t="n">
        <x:f>DATE(2026,10,5)+7*(H23-1)</x:f>
        <x:v>46356</x:v>
      </x:c>
      <x:c r="J23" s="5" t="str">
        <x:v>Current at opening</x:v>
      </x:c>
      <x:c r="K23" s="25" t="d">
        <x:v>2026-11-30T00:00:00.000Z</x:v>
      </x:c>
      <x:c r="L23" s="26" t="n">
        <x:f>MAX(0,DATE(2026,10,5)-K23)</x:f>
        <x:v>0</x:v>
      </x:c>
    </x:row>
    <x:row r="24" ht="15" hidden="0" customHeight="1">
      <x:c r="A24" s="1"/>
      <x:c r="B24" s="1"/>
      <x:c r="C24" s="5" t="str">
        <x:v>INV-1018</x:v>
      </x:c>
      <x:c r="D24" s="5" t="str">
        <x:v>Synthetic account 3</x:v>
      </x:c>
      <x:c r="E24" s="5" t="n">
        <x:v>9</x:v>
      </x:c>
      <x:c r="F24" s="18" t="n">
        <x:v>47000</x:v>
      </x:c>
      <x:c r="G24" s="5" t="n">
        <x:v>0</x:v>
      </x:c>
      <x:c r="H24" s="16" t="n">
        <x:f>MAX(1,E24+'Assumptions'!$D$8-G24*'Assumptions'!$D$13)</x:f>
        <x:v>9</x:v>
      </x:c>
      <x:c r="I24" s="19" t="n">
        <x:f>DATE(2026,10,5)+7*(H24-1)</x:f>
        <x:v>46356</x:v>
      </x:c>
      <x:c r="J24" s="5" t="str">
        <x:v>Current at opening</x:v>
      </x:c>
      <x:c r="K24" s="25" t="d">
        <x:v>2026-11-30T00:00:00.000Z</x:v>
      </x:c>
      <x:c r="L24" s="26" t="n">
        <x:f>MAX(0,DATE(2026,10,5)-K24)</x:f>
        <x:v>0</x:v>
      </x:c>
    </x:row>
    <x:row r="25" ht="15" hidden="0" customHeight="1">
      <x:c r="A25" s="1"/>
      <x:c r="B25" s="1"/>
      <x:c r="C25" s="5" t="str">
        <x:v>INV-1019</x:v>
      </x:c>
      <x:c r="D25" s="5" t="str">
        <x:v>Synthetic account 4</x:v>
      </x:c>
      <x:c r="E25" s="5" t="n">
        <x:v>10</x:v>
      </x:c>
      <x:c r="F25" s="18" t="n">
        <x:v>50000</x:v>
      </x:c>
      <x:c r="G25" s="5" t="n">
        <x:v>0</x:v>
      </x:c>
      <x:c r="H25" s="16" t="n">
        <x:f>MAX(1,E25+'Assumptions'!$D$8-G25*'Assumptions'!$D$13)</x:f>
        <x:v>10</x:v>
      </x:c>
      <x:c r="I25" s="19" t="n">
        <x:f>DATE(2026,10,5)+7*(H25-1)</x:f>
        <x:v>46363</x:v>
      </x:c>
      <x:c r="J25" s="5" t="str">
        <x:v>Current at opening</x:v>
      </x:c>
      <x:c r="K25" s="25" t="d">
        <x:v>2026-12-07T00:00:00.000Z</x:v>
      </x:c>
      <x:c r="L25" s="26" t="n">
        <x:f>MAX(0,DATE(2026,10,5)-K25)</x:f>
        <x:v>0</x:v>
      </x:c>
    </x:row>
    <x:row r="26" ht="15" hidden="0" customHeight="1">
      <x:c r="A26" s="1"/>
      <x:c r="B26" s="1"/>
      <x:c r="C26" s="5" t="str">
        <x:v>INV-1020</x:v>
      </x:c>
      <x:c r="D26" s="5" t="str">
        <x:v>Synthetic account 5</x:v>
      </x:c>
      <x:c r="E26" s="5" t="n">
        <x:v>10</x:v>
      </x:c>
      <x:c r="F26" s="18" t="n">
        <x:v>53000</x:v>
      </x:c>
      <x:c r="G26" s="5" t="n">
        <x:v>0</x:v>
      </x:c>
      <x:c r="H26" s="16" t="n">
        <x:f>MAX(1,E26+'Assumptions'!$D$8-G26*'Assumptions'!$D$13)</x:f>
        <x:v>10</x:v>
      </x:c>
      <x:c r="I26" s="19" t="n">
        <x:f>DATE(2026,10,5)+7*(H26-1)</x:f>
        <x:v>46363</x:v>
      </x:c>
      <x:c r="J26" s="5" t="str">
        <x:v>Current at opening</x:v>
      </x:c>
      <x:c r="K26" s="25" t="d">
        <x:v>2026-12-07T00:00:00.000Z</x:v>
      </x:c>
      <x:c r="L26" s="26" t="n">
        <x:f>MAX(0,DATE(2026,10,5)-K26)</x:f>
        <x:v>0</x:v>
      </x:c>
    </x:row>
    <x:row r="27" ht="15" hidden="0" customHeight="1">
      <x:c r="A27" s="1"/>
      <x:c r="B27" s="1"/>
      <x:c r="C27" s="5" t="str">
        <x:v>INV-1021</x:v>
      </x:c>
      <x:c r="D27" s="5" t="str">
        <x:v>Synthetic account 1</x:v>
      </x:c>
      <x:c r="E27" s="5" t="n">
        <x:v>11</x:v>
      </x:c>
      <x:c r="F27" s="18" t="n">
        <x:v>44000</x:v>
      </x:c>
      <x:c r="G27" s="5" t="n">
        <x:v>0</x:v>
      </x:c>
      <x:c r="H27" s="16" t="n">
        <x:f>MAX(1,E27+'Assumptions'!$D$8-G27*'Assumptions'!$D$13)</x:f>
        <x:v>11</x:v>
      </x:c>
      <x:c r="I27" s="19" t="n">
        <x:f>DATE(2026,10,5)+7*(H27-1)</x:f>
        <x:v>46370</x:v>
      </x:c>
      <x:c r="J27" s="5" t="str">
        <x:v>Current at opening</x:v>
      </x:c>
      <x:c r="K27" s="25" t="d">
        <x:v>2026-12-14T00:00:00.000Z</x:v>
      </x:c>
      <x:c r="L27" s="26" t="n">
        <x:f>MAX(0,DATE(2026,10,5)-K27)</x:f>
        <x:v>0</x:v>
      </x:c>
    </x:row>
    <x:row r="28" ht="15" hidden="0" customHeight="1">
      <x:c r="A28" s="1"/>
      <x:c r="B28" s="1"/>
      <x:c r="C28" s="5" t="str">
        <x:v>INV-1022</x:v>
      </x:c>
      <x:c r="D28" s="5" t="str">
        <x:v>Synthetic account 2</x:v>
      </x:c>
      <x:c r="E28" s="5" t="n">
        <x:v>11</x:v>
      </x:c>
      <x:c r="F28" s="18" t="n">
        <x:v>47000</x:v>
      </x:c>
      <x:c r="G28" s="5" t="n">
        <x:v>0</x:v>
      </x:c>
      <x:c r="H28" s="16" t="n">
        <x:f>MAX(1,E28+'Assumptions'!$D$8-G28*'Assumptions'!$D$13)</x:f>
        <x:v>11</x:v>
      </x:c>
      <x:c r="I28" s="19" t="n">
        <x:f>DATE(2026,10,5)+7*(H28-1)</x:f>
        <x:v>46370</x:v>
      </x:c>
      <x:c r="J28" s="5" t="str">
        <x:v>Current at opening</x:v>
      </x:c>
      <x:c r="K28" s="25" t="d">
        <x:v>2026-12-14T00:00:00.000Z</x:v>
      </x:c>
      <x:c r="L28" s="26" t="n">
        <x:f>MAX(0,DATE(2026,10,5)-K28)</x:f>
        <x:v>0</x:v>
      </x:c>
    </x:row>
    <x:row r="29" ht="15" hidden="0" customHeight="1">
      <x:c r="A29" s="1"/>
      <x:c r="B29" s="1"/>
      <x:c r="C29" s="5" t="str">
        <x:v>INV-1023</x:v>
      </x:c>
      <x:c r="D29" s="5" t="str">
        <x:v>Synthetic account 3</x:v>
      </x:c>
      <x:c r="E29" s="5" t="n">
        <x:v>12</x:v>
      </x:c>
      <x:c r="F29" s="18" t="n">
        <x:v>50000</x:v>
      </x:c>
      <x:c r="G29" s="5" t="n">
        <x:v>0</x:v>
      </x:c>
      <x:c r="H29" s="16" t="n">
        <x:f>MAX(1,E29+'Assumptions'!$D$8-G29*'Assumptions'!$D$13)</x:f>
        <x:v>12</x:v>
      </x:c>
      <x:c r="I29" s="19" t="n">
        <x:f>DATE(2026,10,5)+7*(H29-1)</x:f>
        <x:v>46377</x:v>
      </x:c>
      <x:c r="J29" s="5" t="str">
        <x:v>Current at opening</x:v>
      </x:c>
      <x:c r="K29" s="25" t="d">
        <x:v>2026-12-21T00:00:00.000Z</x:v>
      </x:c>
      <x:c r="L29" s="26" t="n">
        <x:f>MAX(0,DATE(2026,10,5)-K29)</x:f>
        <x:v>0</x:v>
      </x:c>
    </x:row>
    <x:row r="30" ht="15" hidden="0" customHeight="1">
      <x:c r="A30" s="1"/>
      <x:c r="B30" s="1"/>
      <x:c r="C30" s="5" t="str">
        <x:v>INV-1024</x:v>
      </x:c>
      <x:c r="D30" s="5" t="str">
        <x:v>Synthetic account 4</x:v>
      </x:c>
      <x:c r="E30" s="5" t="n">
        <x:v>12</x:v>
      </x:c>
      <x:c r="F30" s="18" t="n">
        <x:v>53000</x:v>
      </x:c>
      <x:c r="G30" s="5" t="n">
        <x:v>0</x:v>
      </x:c>
      <x:c r="H30" s="16" t="n">
        <x:f>MAX(1,E30+'Assumptions'!$D$8-G30*'Assumptions'!$D$13)</x:f>
        <x:v>12</x:v>
      </x:c>
      <x:c r="I30" s="19" t="n">
        <x:f>DATE(2026,10,5)+7*(H30-1)</x:f>
        <x:v>46377</x:v>
      </x:c>
      <x:c r="J30" s="5" t="str">
        <x:v>Current at opening</x:v>
      </x:c>
      <x:c r="K30" s="25" t="d">
        <x:v>2026-12-21T00:00:00.000Z</x:v>
      </x:c>
      <x:c r="L30" s="26" t="n">
        <x:f>MAX(0,DATE(2026,10,5)-K30)</x:f>
        <x:v>0</x:v>
      </x:c>
    </x:row>
    <x:row r="31" ht="15" hidden="0" customHeight="1">
      <x:c r="A31" s="1"/>
      <x:c r="B31" s="1"/>
      <x:c r="C31" s="5" t="str">
        <x:v>INV-1025</x:v>
      </x:c>
      <x:c r="D31" s="5" t="str">
        <x:v>Synthetic account 5</x:v>
      </x:c>
      <x:c r="E31" s="5" t="n">
        <x:v>13</x:v>
      </x:c>
      <x:c r="F31" s="18" t="n">
        <x:v>44000</x:v>
      </x:c>
      <x:c r="G31" s="5" t="n">
        <x:v>0</x:v>
      </x:c>
      <x:c r="H31" s="16" t="n">
        <x:f>MAX(1,E31+'Assumptions'!$D$8-G31*'Assumptions'!$D$13)</x:f>
        <x:v>13</x:v>
      </x:c>
      <x:c r="I31" s="19" t="n">
        <x:f>DATE(2026,10,5)+7*(H31-1)</x:f>
        <x:v>46384</x:v>
      </x:c>
      <x:c r="J31" s="5" t="str">
        <x:v>Current at opening</x:v>
      </x:c>
      <x:c r="K31" s="25" t="d">
        <x:v>2026-12-28T00:00:00.000Z</x:v>
      </x:c>
      <x:c r="L31" s="26" t="n">
        <x:f>MAX(0,DATE(2026,10,5)-K31)</x:f>
        <x:v>0</x:v>
      </x:c>
    </x:row>
    <x:row r="32" ht="15" hidden="0" customHeight="1">
      <x:c r="A32" s="1"/>
      <x:c r="B32" s="1"/>
      <x:c r="C32" s="5" t="str">
        <x:v>INV-1026</x:v>
      </x:c>
      <x:c r="D32" s="5" t="str">
        <x:v>Synthetic account 1</x:v>
      </x:c>
      <x:c r="E32" s="5" t="n">
        <x:v>13</x:v>
      </x:c>
      <x:c r="F32" s="18" t="n">
        <x:v>47000</x:v>
      </x:c>
      <x:c r="G32" s="5" t="n">
        <x:v>0</x:v>
      </x:c>
      <x:c r="H32" s="16" t="n">
        <x:f>MAX(1,E32+'Assumptions'!$D$8-G32*'Assumptions'!$D$13)</x:f>
        <x:v>13</x:v>
      </x:c>
      <x:c r="I32" s="19" t="n">
        <x:f>DATE(2026,10,5)+7*(H32-1)</x:f>
        <x:v>46384</x:v>
      </x:c>
      <x:c r="J32" s="5" t="str">
        <x:v>Current at opening</x:v>
      </x:c>
      <x:c r="K32" s="25" t="d">
        <x:v>2026-12-28T00:00:00.000Z</x:v>
      </x:c>
      <x:c r="L32" s="26" t="n">
        <x:f>MAX(0,DATE(2026,10,5)-K32)</x:f>
        <x:v>0</x:v>
      </x:c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2" customHeight="1">
      <x:c r="A35" s="1"/>
      <x:c r="B35" s="1"/>
      <x:c r="C35" s="5" t="str">
        <x:v>All 26 invoices are open at forecast start. Eligible invoices need collection consent.</x:v>
      </x:c>
      <x:c r="D35" s="5"/>
      <x:c r="E35" s="5"/>
      <x:c r="F35" s="5"/>
      <x:c r="G35" s="5"/>
      <x:c r="H35" s="5"/>
      <x:c r="I35" s="5"/>
      <x:c r="J35" s="5"/>
      <x:c r="K35" s="20"/>
    </x:row>
    <x:row r="36" ht="22" customHeight="1">
      <x:c r="A36" s="1"/>
      <x:c r="B36" s="1"/>
      <x:c r="C36" s="5"/>
      <x:c r="D36" s="5"/>
      <x:c r="E36" s="5"/>
      <x:c r="F36" s="5"/>
      <x:c r="G36" s="5"/>
      <x:c r="H36" s="5"/>
      <x:c r="I36" s="5"/>
      <x:c r="J36" s="5"/>
      <x:c r="K36" s="20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</x:sheetData>
  <x:mergeCells>
    <x:mergeCell ref="D4:F4"/>
    <x:mergeCell ref="C35:K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Simulated four-week forecast review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Week</x:v>
      </x:c>
      <x:c r="D6" s="14" t="str">
        <x:v>Baseline receipts</x:v>
      </x:c>
      <x:c r="E6" s="14" t="str">
        <x:v>Simulated receipts</x:v>
      </x:c>
      <x:c r="F6" s="14" t="str">
        <x:v>Receipt variance</x:v>
      </x:c>
      <x:c r="G6" s="14" t="str">
        <x:v>Baseline payments</x:v>
      </x:c>
      <x:c r="H6" s="14" t="str">
        <x:v>Simulated payments</x:v>
      </x:c>
      <x:c r="I6" s="14" t="str">
        <x:v>Payment variance</x:v>
      </x:c>
      <x:c r="J6" s="14" t="str">
        <x:v>Net cash variance</x:v>
      </x:c>
      <x:c r="K6" s="1"/>
      <x:c r="L6" s="1"/>
    </x:row>
    <x:row r="7" ht="15" hidden="0" customHeight="1">
      <x:c r="A7" s="1"/>
      <x:c r="B7" s="1"/>
      <x:c r="C7" s="5" t="n">
        <x:v>1</x:v>
      </x:c>
      <x:c r="D7" s="31" t="n">
        <x:v>111000</x:v>
      </x:c>
      <x:c r="E7" s="31" t="n">
        <x:v>101000</x:v>
      </x:c>
      <x:c r="F7" s="32" t="n">
        <x:f>E7-D7</x:f>
        <x:v>-10000</x:v>
      </x:c>
      <x:c r="G7" s="31" t="n">
        <x:v>112000</x:v>
      </x:c>
      <x:c r="H7" s="31" t="n">
        <x:v>114000</x:v>
      </x:c>
      <x:c r="I7" s="32" t="n">
        <x:f>H7-G7</x:f>
        <x:v>2000</x:v>
      </x:c>
      <x:c r="J7" s="32" t="n">
        <x:f>F7-I7</x:f>
        <x:v>-12000</x:v>
      </x:c>
      <x:c r="K7" s="1"/>
      <x:c r="L7" s="1"/>
    </x:row>
    <x:row r="8" ht="15" hidden="0" customHeight="1">
      <x:c r="A8" s="1"/>
      <x:c r="B8" s="1"/>
      <x:c r="C8" s="5" t="n">
        <x:v>2</x:v>
      </x:c>
      <x:c r="D8" s="31" t="n">
        <x:v>123000</x:v>
      </x:c>
      <x:c r="E8" s="31" t="n">
        <x:v>128000</x:v>
      </x:c>
      <x:c r="F8" s="32" t="n">
        <x:f>E8-D8</x:f>
        <x:v>5000</x:v>
      </x:c>
      <x:c r="G8" s="31" t="n">
        <x:v>112000</x:v>
      </x:c>
      <x:c r="H8" s="31" t="n">
        <x:v>111000</x:v>
      </x:c>
      <x:c r="I8" s="32" t="n">
        <x:f>H8-G8</x:f>
        <x:v>-1000</x:v>
      </x:c>
      <x:c r="J8" s="32" t="n">
        <x:f>F8-I8</x:f>
        <x:v>6000</x:v>
      </x:c>
      <x:c r="K8" s="1"/>
      <x:c r="L8" s="1"/>
    </x:row>
    <x:row r="9" ht="15" hidden="0" customHeight="1">
      <x:c r="A9" s="1"/>
      <x:c r="B9" s="1"/>
      <x:c r="C9" s="5" t="n">
        <x:v>3</x:v>
      </x:c>
      <x:c r="D9" s="31" t="n">
        <x:v>111000</x:v>
      </x:c>
      <x:c r="E9" s="31" t="n">
        <x:v>111000</x:v>
      </x:c>
      <x:c r="F9" s="32" t="n">
        <x:f>E9-D9</x:f>
        <x:v>0</x:v>
      </x:c>
      <x:c r="G9" s="31" t="n">
        <x:v>112000</x:v>
      </x:c>
      <x:c r="H9" s="31" t="n">
        <x:v>112000</x:v>
      </x:c>
      <x:c r="I9" s="32" t="n">
        <x:f>H9-G9</x:f>
        <x:v>0</x:v>
      </x:c>
      <x:c r="J9" s="32" t="n">
        <x:f>F9-I9</x:f>
        <x:v>0</x:v>
      </x:c>
      <x:c r="K9" s="1"/>
      <x:c r="L9" s="1"/>
    </x:row>
    <x:row r="10" ht="15" hidden="0" customHeight="1">
      <x:c r="A10" s="1"/>
      <x:c r="B10" s="1"/>
      <x:c r="C10" s="5" t="n">
        <x:v>4</x:v>
      </x:c>
      <x:c r="D10" s="31" t="n">
        <x:v>123000</x:v>
      </x:c>
      <x:c r="E10" s="31" t="n">
        <x:v>118000</x:v>
      </x:c>
      <x:c r="F10" s="32" t="n">
        <x:f>E10-D10</x:f>
        <x:v>-5000</x:v>
      </x:c>
      <x:c r="G10" s="31" t="n">
        <x:v>112000</x:v>
      </x:c>
      <x:c r="H10" s="31" t="n">
        <x:v>113000</x:v>
      </x:c>
      <x:c r="I10" s="32" t="n">
        <x:f>H10-G10</x:f>
        <x:v>1000</x:v>
      </x:c>
      <x:c r="J10" s="32" t="n">
        <x:f>F10-I10</x:f>
        <x:v>-6000</x:v>
      </x:c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5" t="str">
        <x:v>Frozen baseline, simulated observations. Review is not tied to active case.</x:v>
      </x:c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22" customHeight="1">
      <x:c r="A14" s="1"/>
      <x:c r="B14" s="1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 t="str">
        <x:v>Net cash variance</x:v>
      </x:c>
      <x:c r="D17" s="29" t="n">
        <x:f>SUM(J7:J10)</x:f>
        <x:v>-12000</x:v>
      </x:c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 t="str">
        <x:v>Absolute receipt error / baseline receipts</x:v>
      </x:c>
      <x:c r="D18" s="33" t="n">
        <x:f>(ABS(F7)+ABS(F8)+ABS(F9)+ABS(F10))/SUM(D7:D10)</x:f>
        <x:v>0.042735042735042736</x:v>
      </x:c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  <x:mergeCell ref="C13:L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Synthetic invoices issued during forecast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Invoice ID</x:v>
      </x:c>
      <x:c r="D6" s="14" t="str">
        <x:v>Issue week</x:v>
      </x:c>
      <x:c r="E6" s="14" t="str">
        <x:v>Amount USD</x:v>
      </x:c>
      <x:c r="F6" s="14" t="str">
        <x:v>Collection week</x:v>
      </x:c>
      <x:c r="G6" s="14" t="str">
        <x:v>Collection date</x:v>
      </x:c>
      <x:c r="H6" s="14" t="str">
        <x:v>Opening AR?</x:v>
      </x:c>
      <x:c r="I6" s="1"/>
      <x:c r="J6" s="1"/>
      <x:c r="K6" s="1"/>
      <x:c r="L6" s="1"/>
    </x:row>
    <x:row r="7" ht="15" hidden="0" customHeight="1">
      <x:c r="A7" s="1"/>
      <x:c r="B7" s="1"/>
      <x:c r="C7" s="5" t="str">
        <x:v>NEW-2001</x:v>
      </x:c>
      <x:c r="D7" s="5" t="n">
        <x:v>1</x:v>
      </x:c>
      <x:c r="E7" s="30" t="n">
        <x:f>'Assumptions'!$I$39</x:f>
        <x:v>92000</x:v>
      </x:c>
      <x:c r="F7" s="16" t="n">
        <x:f>D7+'Assumptions'!$I$40+'Assumptions'!$D$8</x:f>
        <x:v>3</x:v>
      </x:c>
      <x:c r="G7" s="19" t="n">
        <x:f>DATE(2026,10,5)+7*(F7-1)</x:f>
        <x:v>46314</x:v>
      </x:c>
      <x:c r="H7" s="5" t="str">
        <x:v>No</x:v>
      </x:c>
      <x:c r="I7" s="1"/>
      <x:c r="J7" s="1"/>
      <x:c r="K7" s="1"/>
      <x:c r="L7" s="1"/>
    </x:row>
    <x:row r="8" ht="15" hidden="0" customHeight="1">
      <x:c r="A8" s="1"/>
      <x:c r="B8" s="1"/>
      <x:c r="C8" s="5" t="str">
        <x:v>NEW-2002</x:v>
      </x:c>
      <x:c r="D8" s="5" t="n">
        <x:v>2</x:v>
      </x:c>
      <x:c r="E8" s="30" t="n">
        <x:f>'Assumptions'!$I$39</x:f>
        <x:v>92000</x:v>
      </x:c>
      <x:c r="F8" s="16" t="n">
        <x:f>D8+'Assumptions'!$I$40+'Assumptions'!$D$8</x:f>
        <x:v>4</x:v>
      </x:c>
      <x:c r="G8" s="19" t="n">
        <x:f>DATE(2026,10,5)+7*(F8-1)</x:f>
        <x:v>46321</x:v>
      </x:c>
      <x:c r="H8" s="5" t="str">
        <x:v>No</x:v>
      </x:c>
      <x:c r="I8" s="1"/>
      <x:c r="J8" s="1"/>
      <x:c r="K8" s="1"/>
      <x:c r="L8" s="1"/>
    </x:row>
    <x:row r="9" ht="15" hidden="0" customHeight="1">
      <x:c r="A9" s="1"/>
      <x:c r="B9" s="1"/>
      <x:c r="C9" s="5" t="str">
        <x:v>NEW-2003</x:v>
      </x:c>
      <x:c r="D9" s="5" t="n">
        <x:v>3</x:v>
      </x:c>
      <x:c r="E9" s="30" t="n">
        <x:f>'Assumptions'!$I$39</x:f>
        <x:v>92000</x:v>
      </x:c>
      <x:c r="F9" s="16" t="n">
        <x:f>D9+'Assumptions'!$I$40+'Assumptions'!$D$8</x:f>
        <x:v>5</x:v>
      </x:c>
      <x:c r="G9" s="19" t="n">
        <x:f>DATE(2026,10,5)+7*(F9-1)</x:f>
        <x:v>46328</x:v>
      </x:c>
      <x:c r="H9" s="5" t="str">
        <x:v>No</x:v>
      </x:c>
      <x:c r="I9" s="1"/>
      <x:c r="J9" s="1"/>
      <x:c r="K9" s="1"/>
      <x:c r="L9" s="1"/>
    </x:row>
    <x:row r="10" ht="15" hidden="0" customHeight="1">
      <x:c r="A10" s="1"/>
      <x:c r="B10" s="1"/>
      <x:c r="C10" s="5" t="str">
        <x:v>NEW-2004</x:v>
      </x:c>
      <x:c r="D10" s="5" t="n">
        <x:v>4</x:v>
      </x:c>
      <x:c r="E10" s="30" t="n">
        <x:f>'Assumptions'!$I$39</x:f>
        <x:v>92000</x:v>
      </x:c>
      <x:c r="F10" s="16" t="n">
        <x:f>D10+'Assumptions'!$I$40+'Assumptions'!$D$8</x:f>
        <x:v>6</x:v>
      </x:c>
      <x:c r="G10" s="19" t="n">
        <x:f>DATE(2026,10,5)+7*(F10-1)</x:f>
        <x:v>46335</x:v>
      </x:c>
      <x:c r="H10" s="5" t="str">
        <x:v>No</x:v>
      </x:c>
      <x:c r="I10" s="1"/>
      <x:c r="J10" s="1"/>
      <x:c r="K10" s="1"/>
      <x:c r="L10" s="1"/>
    </x:row>
    <x:row r="11" ht="15" hidden="0" customHeight="1">
      <x:c r="A11" s="1"/>
      <x:c r="B11" s="1"/>
      <x:c r="C11" s="5" t="str">
        <x:v>NEW-2005</x:v>
      </x:c>
      <x:c r="D11" s="5" t="n">
        <x:v>5</x:v>
      </x:c>
      <x:c r="E11" s="30" t="n">
        <x:f>'Assumptions'!$I$39</x:f>
        <x:v>92000</x:v>
      </x:c>
      <x:c r="F11" s="16" t="n">
        <x:f>D11+'Assumptions'!$I$40+'Assumptions'!$D$8</x:f>
        <x:v>7</x:v>
      </x:c>
      <x:c r="G11" s="19" t="n">
        <x:f>DATE(2026,10,5)+7*(F11-1)</x:f>
        <x:v>46342</x:v>
      </x:c>
      <x:c r="H11" s="5" t="str">
        <x:v>No</x:v>
      </x:c>
      <x:c r="I11" s="1"/>
      <x:c r="J11" s="1"/>
      <x:c r="K11" s="1"/>
      <x:c r="L11" s="1"/>
    </x:row>
    <x:row r="12" ht="15" hidden="0" customHeight="1">
      <x:c r="A12" s="1"/>
      <x:c r="B12" s="1"/>
      <x:c r="C12" s="5" t="str">
        <x:v>NEW-2006</x:v>
      </x:c>
      <x:c r="D12" s="5" t="n">
        <x:v>6</x:v>
      </x:c>
      <x:c r="E12" s="30" t="n">
        <x:f>'Assumptions'!$I$39</x:f>
        <x:v>92000</x:v>
      </x:c>
      <x:c r="F12" s="16" t="n">
        <x:f>D12+'Assumptions'!$I$40+'Assumptions'!$D$8</x:f>
        <x:v>8</x:v>
      </x:c>
      <x:c r="G12" s="19" t="n">
        <x:f>DATE(2026,10,5)+7*(F12-1)</x:f>
        <x:v>46349</x:v>
      </x:c>
      <x:c r="H12" s="5" t="str">
        <x:v>No</x:v>
      </x:c>
      <x:c r="I12" s="1"/>
      <x:c r="J12" s="1"/>
      <x:c r="K12" s="1"/>
      <x:c r="L12" s="1"/>
    </x:row>
    <x:row r="13" ht="15" hidden="0" customHeight="1">
      <x:c r="A13" s="1"/>
      <x:c r="B13" s="1"/>
      <x:c r="C13" s="5" t="str">
        <x:v>NEW-2007</x:v>
      </x:c>
      <x:c r="D13" s="5" t="n">
        <x:v>7</x:v>
      </x:c>
      <x:c r="E13" s="30" t="n">
        <x:f>'Assumptions'!$I$39</x:f>
        <x:v>92000</x:v>
      </x:c>
      <x:c r="F13" s="16" t="n">
        <x:f>D13+'Assumptions'!$I$40+'Assumptions'!$D$8</x:f>
        <x:v>9</x:v>
      </x:c>
      <x:c r="G13" s="19" t="n">
        <x:f>DATE(2026,10,5)+7*(F13-1)</x:f>
        <x:v>46356</x:v>
      </x:c>
      <x:c r="H13" s="5" t="str">
        <x:v>No</x:v>
      </x:c>
      <x:c r="I13" s="1"/>
      <x:c r="J13" s="1"/>
      <x:c r="K13" s="1"/>
      <x:c r="L13" s="1"/>
    </x:row>
    <x:row r="14" ht="15" hidden="0" customHeight="1">
      <x:c r="A14" s="1"/>
      <x:c r="B14" s="1"/>
      <x:c r="C14" s="5" t="str">
        <x:v>NEW-2008</x:v>
      </x:c>
      <x:c r="D14" s="5" t="n">
        <x:v>8</x:v>
      </x:c>
      <x:c r="E14" s="30" t="n">
        <x:f>'Assumptions'!$I$39</x:f>
        <x:v>92000</x:v>
      </x:c>
      <x:c r="F14" s="16" t="n">
        <x:f>D14+'Assumptions'!$I$40+'Assumptions'!$D$8</x:f>
        <x:v>10</x:v>
      </x:c>
      <x:c r="G14" s="19" t="n">
        <x:f>DATE(2026,10,5)+7*(F14-1)</x:f>
        <x:v>46363</x:v>
      </x:c>
      <x:c r="H14" s="5" t="str">
        <x:v>No</x:v>
      </x:c>
      <x:c r="I14" s="1"/>
      <x:c r="J14" s="1"/>
      <x:c r="K14" s="1"/>
      <x:c r="L14" s="1"/>
    </x:row>
    <x:row r="15" ht="15" hidden="0" customHeight="1">
      <x:c r="A15" s="1"/>
      <x:c r="B15" s="1"/>
      <x:c r="C15" s="5" t="str">
        <x:v>NEW-2009</x:v>
      </x:c>
      <x:c r="D15" s="5" t="n">
        <x:v>9</x:v>
      </x:c>
      <x:c r="E15" s="30" t="n">
        <x:f>'Assumptions'!$I$39</x:f>
        <x:v>92000</x:v>
      </x:c>
      <x:c r="F15" s="16" t="n">
        <x:f>D15+'Assumptions'!$I$40+'Assumptions'!$D$8</x:f>
        <x:v>11</x:v>
      </x:c>
      <x:c r="G15" s="19" t="n">
        <x:f>DATE(2026,10,5)+7*(F15-1)</x:f>
        <x:v>46370</x:v>
      </x:c>
      <x:c r="H15" s="5" t="str">
        <x:v>No</x:v>
      </x:c>
      <x:c r="I15" s="1"/>
      <x:c r="J15" s="1"/>
      <x:c r="K15" s="1"/>
      <x:c r="L15" s="1"/>
    </x:row>
    <x:row r="16" ht="15" hidden="0" customHeight="1">
      <x:c r="A16" s="1"/>
      <x:c r="B16" s="1"/>
      <x:c r="C16" s="5" t="str">
        <x:v>NEW-2010</x:v>
      </x:c>
      <x:c r="D16" s="5" t="n">
        <x:v>10</x:v>
      </x:c>
      <x:c r="E16" s="30" t="n">
        <x:f>'Assumptions'!$I$39</x:f>
        <x:v>92000</x:v>
      </x:c>
      <x:c r="F16" s="16" t="n">
        <x:f>D16+'Assumptions'!$I$40+'Assumptions'!$D$8</x:f>
        <x:v>12</x:v>
      </x:c>
      <x:c r="G16" s="19" t="n">
        <x:f>DATE(2026,10,5)+7*(F16-1)</x:f>
        <x:v>46377</x:v>
      </x:c>
      <x:c r="H16" s="5" t="str">
        <x:v>No</x:v>
      </x:c>
      <x:c r="I16" s="1"/>
      <x:c r="J16" s="1"/>
      <x:c r="K16" s="1"/>
      <x:c r="L16" s="1"/>
    </x:row>
    <x:row r="17" ht="15" hidden="0" customHeight="1">
      <x:c r="A17" s="1"/>
      <x:c r="B17" s="1"/>
      <x:c r="C17" s="5" t="str">
        <x:v>NEW-2011</x:v>
      </x:c>
      <x:c r="D17" s="5" t="n">
        <x:v>11</x:v>
      </x:c>
      <x:c r="E17" s="30" t="n">
        <x:f>'Assumptions'!$I$39</x:f>
        <x:v>92000</x:v>
      </x:c>
      <x:c r="F17" s="16" t="n">
        <x:f>D17+'Assumptions'!$I$40+'Assumptions'!$D$8</x:f>
        <x:v>13</x:v>
      </x:c>
      <x:c r="G17" s="19" t="n">
        <x:f>DATE(2026,10,5)+7*(F17-1)</x:f>
        <x:v>46384</x:v>
      </x:c>
      <x:c r="H17" s="5" t="str">
        <x:v>No</x:v>
      </x:c>
      <x:c r="I17" s="1"/>
      <x:c r="J17" s="1"/>
      <x:c r="K17" s="1"/>
      <x:c r="L17" s="1"/>
    </x:row>
    <x:row r="18" ht="15" hidden="0" customHeight="1">
      <x:c r="A18" s="1"/>
      <x:c r="B18" s="1"/>
      <x:c r="C18" s="5" t="str">
        <x:v>NEW-2012</x:v>
      </x:c>
      <x:c r="D18" s="5" t="n">
        <x:v>12</x:v>
      </x:c>
      <x:c r="E18" s="30" t="n">
        <x:f>'Assumptions'!$I$39</x:f>
        <x:v>92000</x:v>
      </x:c>
      <x:c r="F18" s="16" t="n">
        <x:f>D18+'Assumptions'!$I$40+'Assumptions'!$D$8</x:f>
        <x:v>14</x:v>
      </x:c>
      <x:c r="G18" s="19" t="n">
        <x:f>DATE(2026,10,5)+7*(F18-1)</x:f>
        <x:v>46391</x:v>
      </x:c>
      <x:c r="H18" s="5" t="str">
        <x:v>No</x:v>
      </x:c>
      <x:c r="I18" s="1"/>
      <x:c r="J18" s="1"/>
      <x:c r="K18" s="1"/>
      <x:c r="L18" s="1"/>
    </x:row>
    <x:row r="19" ht="15" hidden="0" customHeight="1">
      <x:c r="A19" s="1"/>
      <x:c r="B19" s="1"/>
      <x:c r="C19" s="5" t="str">
        <x:v>NEW-2013</x:v>
      </x:c>
      <x:c r="D19" s="5" t="n">
        <x:v>13</x:v>
      </x:c>
      <x:c r="E19" s="30" t="n">
        <x:f>'Assumptions'!$I$39</x:f>
        <x:v>92000</x:v>
      </x:c>
      <x:c r="F19" s="16" t="n">
        <x:f>D19+'Assumptions'!$I$40+'Assumptions'!$D$8</x:f>
        <x:v>15</x:v>
      </x:c>
      <x:c r="G19" s="19" t="n">
        <x:f>DATE(2026,10,5)+7*(F19-1)</x:f>
        <x:v>46398</x:v>
      </x:c>
      <x:c r="H19" s="5" t="str">
        <x:v>No</x:v>
      </x:c>
      <x:c r="I19" s="1"/>
      <x:c r="J19" s="1"/>
      <x:c r="K19" s="1"/>
      <x:c r="L19" s="1"/>
    </x:row>
    <x:row r="20" ht="15" hidden="0" customHeight="1">
      <x:c r="A20" s="1"/>
      <x:c r="B20" s="1"/>
      <x:c r="C20" s="5" t="str">
        <x:v>NEW-2014</x:v>
      </x:c>
      <x:c r="D20" s="5" t="n">
        <x:v>14</x:v>
      </x:c>
      <x:c r="E20" s="30" t="n">
        <x:f>'Assumptions'!$I$39</x:f>
        <x:v>92000</x:v>
      </x:c>
      <x:c r="F20" s="16" t="n">
        <x:f>D20+'Assumptions'!$I$40+'Assumptions'!$D$8</x:f>
        <x:v>16</x:v>
      </x:c>
      <x:c r="G20" s="19" t="n">
        <x:f>DATE(2026,10,5)+7*(F20-1)</x:f>
        <x:v>46405</x:v>
      </x:c>
      <x:c r="H20" s="5" t="str">
        <x:v>No</x:v>
      </x:c>
      <x:c r="I20" s="1"/>
      <x:c r="J20" s="1"/>
      <x:c r="K20" s="1"/>
      <x:c r="L20" s="1"/>
    </x:row>
    <x:row r="21" ht="15" hidden="0" customHeight="1">
      <x:c r="A21" s="1"/>
      <x:c r="B21" s="1"/>
      <x:c r="C21" s="5" t="str">
        <x:v>NEW-2015</x:v>
      </x:c>
      <x:c r="D21" s="5" t="n">
        <x:v>15</x:v>
      </x:c>
      <x:c r="E21" s="30" t="n">
        <x:f>'Assumptions'!$I$39</x:f>
        <x:v>92000</x:v>
      </x:c>
      <x:c r="F21" s="16" t="n">
        <x:f>D21+'Assumptions'!$I$40+'Assumptions'!$D$8</x:f>
        <x:v>17</x:v>
      </x:c>
      <x:c r="G21" s="19" t="n">
        <x:f>DATE(2026,10,5)+7*(F21-1)</x:f>
        <x:v>46412</x:v>
      </x:c>
      <x:c r="H21" s="5" t="str">
        <x:v>No</x:v>
      </x:c>
      <x:c r="I21" s="1"/>
      <x:c r="J21" s="1"/>
      <x:c r="K21" s="1"/>
      <x:c r="L21" s="1"/>
    </x:row>
    <x:row r="22" ht="15" hidden="0" customHeight="1">
      <x:c r="A22" s="1"/>
      <x:c r="B22" s="1"/>
      <x:c r="C22" s="5" t="str">
        <x:v>NEW-2016</x:v>
      </x:c>
      <x:c r="D22" s="5" t="n">
        <x:v>16</x:v>
      </x:c>
      <x:c r="E22" s="30" t="n">
        <x:f>'Assumptions'!$I$39</x:f>
        <x:v>92000</x:v>
      </x:c>
      <x:c r="F22" s="16" t="n">
        <x:f>D22+'Assumptions'!$I$40+'Assumptions'!$D$8</x:f>
        <x:v>18</x:v>
      </x:c>
      <x:c r="G22" s="19" t="n">
        <x:f>DATE(2026,10,5)+7*(F22-1)</x:f>
        <x:v>46419</x:v>
      </x:c>
      <x:c r="H22" s="5" t="str">
        <x:v>No</x:v>
      </x:c>
      <x:c r="I22" s="1"/>
      <x:c r="J22" s="1"/>
      <x:c r="K22" s="1"/>
      <x:c r="L22" s="1"/>
    </x:row>
    <x:row r="23" ht="15" hidden="0" customHeight="1">
      <x:c r="A23" s="1"/>
      <x:c r="B23" s="1"/>
      <x:c r="C23" s="5" t="str">
        <x:v>NEW-2017</x:v>
      </x:c>
      <x:c r="D23" s="5" t="n">
        <x:v>17</x:v>
      </x:c>
      <x:c r="E23" s="30" t="n">
        <x:f>'Assumptions'!$I$39</x:f>
        <x:v>92000</x:v>
      </x:c>
      <x:c r="F23" s="16" t="n">
        <x:f>D23+'Assumptions'!$I$40+'Assumptions'!$D$8</x:f>
        <x:v>19</x:v>
      </x:c>
      <x:c r="G23" s="19" t="n">
        <x:f>DATE(2026,10,5)+7*(F23-1)</x:f>
        <x:v>46426</x:v>
      </x:c>
      <x:c r="H23" s="5" t="str">
        <x:v>No</x:v>
      </x:c>
      <x:c r="I23" s="1"/>
      <x:c r="J23" s="1"/>
      <x:c r="K23" s="1"/>
      <x:c r="L23" s="1"/>
    </x:row>
    <x:row r="24" ht="15" hidden="0" customHeight="1">
      <x:c r="A24" s="1"/>
      <x:c r="B24" s="1"/>
      <x:c r="C24" s="5" t="str">
        <x:v>NEW-2018</x:v>
      </x:c>
      <x:c r="D24" s="5" t="n">
        <x:v>18</x:v>
      </x:c>
      <x:c r="E24" s="30" t="n">
        <x:f>'Assumptions'!$I$39</x:f>
        <x:v>92000</x:v>
      </x:c>
      <x:c r="F24" s="16" t="n">
        <x:f>D24+'Assumptions'!$I$40+'Assumptions'!$D$8</x:f>
        <x:v>20</x:v>
      </x:c>
      <x:c r="G24" s="19" t="n">
        <x:f>DATE(2026,10,5)+7*(F24-1)</x:f>
        <x:v>46433</x:v>
      </x:c>
      <x:c r="H24" s="5" t="str">
        <x:v>No</x:v>
      </x:c>
      <x:c r="I24" s="1"/>
      <x:c r="J24" s="1"/>
      <x:c r="K24" s="1"/>
      <x:c r="L24" s="1"/>
    </x:row>
    <x:row r="25" ht="15" hidden="0" customHeight="1">
      <x:c r="A25" s="1"/>
      <x:c r="B25" s="1"/>
      <x:c r="C25" s="5" t="str">
        <x:v>NEW-2019</x:v>
      </x:c>
      <x:c r="D25" s="5" t="n">
        <x:v>19</x:v>
      </x:c>
      <x:c r="E25" s="30" t="n">
        <x:f>'Assumptions'!$I$39</x:f>
        <x:v>92000</x:v>
      </x:c>
      <x:c r="F25" s="16" t="n">
        <x:f>D25+'Assumptions'!$I$40+'Assumptions'!$D$8</x:f>
        <x:v>21</x:v>
      </x:c>
      <x:c r="G25" s="19" t="n">
        <x:f>DATE(2026,10,5)+7*(F25-1)</x:f>
        <x:v>46440</x:v>
      </x:c>
      <x:c r="H25" s="5" t="str">
        <x:v>No</x:v>
      </x:c>
      <x:c r="I25" s="1"/>
      <x:c r="J25" s="1"/>
      <x:c r="K25" s="1"/>
      <x:c r="L25" s="1"/>
    </x:row>
    <x:row r="26" ht="15" hidden="0" customHeight="1">
      <x:c r="A26" s="1"/>
      <x:c r="B26" s="1"/>
      <x:c r="C26" s="5" t="str">
        <x:v>NEW-2020</x:v>
      </x:c>
      <x:c r="D26" s="5" t="n">
        <x:v>20</x:v>
      </x:c>
      <x:c r="E26" s="30" t="n">
        <x:f>'Assumptions'!$I$39</x:f>
        <x:v>92000</x:v>
      </x:c>
      <x:c r="F26" s="16" t="n">
        <x:f>D26+'Assumptions'!$I$40+'Assumptions'!$D$8</x:f>
        <x:v>22</x:v>
      </x:c>
      <x:c r="G26" s="19" t="n">
        <x:f>DATE(2026,10,5)+7*(F26-1)</x:f>
        <x:v>46447</x:v>
      </x:c>
      <x:c r="H26" s="5" t="str">
        <x:v>No</x:v>
      </x:c>
      <x:c r="I26" s="1"/>
      <x:c r="J26" s="1"/>
      <x:c r="K26" s="1"/>
      <x:c r="L26" s="1"/>
    </x:row>
    <x:row r="27" ht="15" hidden="0" customHeight="1">
      <x:c r="A27" s="1"/>
      <x:c r="B27" s="1"/>
      <x:c r="C27" s="5" t="str">
        <x:v>NEW-2021</x:v>
      </x:c>
      <x:c r="D27" s="5" t="n">
        <x:v>21</x:v>
      </x:c>
      <x:c r="E27" s="30" t="n">
        <x:f>'Assumptions'!$I$39</x:f>
        <x:v>92000</x:v>
      </x:c>
      <x:c r="F27" s="16" t="n">
        <x:f>D27+'Assumptions'!$I$40+'Assumptions'!$D$8</x:f>
        <x:v>23</x:v>
      </x:c>
      <x:c r="G27" s="19" t="n">
        <x:f>DATE(2026,10,5)+7*(F27-1)</x:f>
        <x:v>46454</x:v>
      </x:c>
      <x:c r="H27" s="5" t="str">
        <x:v>No</x:v>
      </x:c>
      <x:c r="I27" s="1"/>
      <x:c r="J27" s="1"/>
      <x:c r="K27" s="1"/>
      <x:c r="L27" s="1"/>
    </x:row>
    <x:row r="28" ht="15" hidden="0" customHeight="1">
      <x:c r="A28" s="1"/>
      <x:c r="B28" s="1"/>
      <x:c r="C28" s="5" t="str">
        <x:v>NEW-2022</x:v>
      </x:c>
      <x:c r="D28" s="5" t="n">
        <x:v>22</x:v>
      </x:c>
      <x:c r="E28" s="30" t="n">
        <x:f>'Assumptions'!$I$39</x:f>
        <x:v>92000</x:v>
      </x:c>
      <x:c r="F28" s="16" t="n">
        <x:f>D28+'Assumptions'!$I$40+'Assumptions'!$D$8</x:f>
        <x:v>24</x:v>
      </x:c>
      <x:c r="G28" s="19" t="n">
        <x:f>DATE(2026,10,5)+7*(F28-1)</x:f>
        <x:v>46461</x:v>
      </x:c>
      <x:c r="H28" s="5" t="str">
        <x:v>No</x:v>
      </x:c>
      <x:c r="I28" s="1"/>
      <x:c r="J28" s="1"/>
      <x:c r="K28" s="1"/>
      <x:c r="L28" s="1"/>
    </x:row>
    <x:row r="29" ht="15" hidden="0" customHeight="1">
      <x:c r="A29" s="1"/>
      <x:c r="B29" s="1"/>
      <x:c r="C29" s="5" t="str">
        <x:v>NEW-2023</x:v>
      </x:c>
      <x:c r="D29" s="5" t="n">
        <x:v>23</x:v>
      </x:c>
      <x:c r="E29" s="30" t="n">
        <x:f>'Assumptions'!$I$39</x:f>
        <x:v>92000</x:v>
      </x:c>
      <x:c r="F29" s="16" t="n">
        <x:f>D29+'Assumptions'!$I$40+'Assumptions'!$D$8</x:f>
        <x:v>25</x:v>
      </x:c>
      <x:c r="G29" s="19" t="n">
        <x:f>DATE(2026,10,5)+7*(F29-1)</x:f>
        <x:v>46468</x:v>
      </x:c>
      <x:c r="H29" s="5" t="str">
        <x:v>No</x:v>
      </x:c>
      <x:c r="I29" s="1"/>
      <x:c r="J29" s="1"/>
      <x:c r="K29" s="1"/>
      <x:c r="L29" s="1"/>
    </x:row>
    <x:row r="30" ht="15" hidden="0" customHeight="1">
      <x:c r="A30" s="1"/>
      <x:c r="B30" s="1"/>
      <x:c r="C30" s="5" t="str">
        <x:v>NEW-2024</x:v>
      </x:c>
      <x:c r="D30" s="5" t="n">
        <x:v>24</x:v>
      </x:c>
      <x:c r="E30" s="30" t="n">
        <x:f>'Assumptions'!$I$39</x:f>
        <x:v>92000</x:v>
      </x:c>
      <x:c r="F30" s="16" t="n">
        <x:f>D30+'Assumptions'!$I$40+'Assumptions'!$D$8</x:f>
        <x:v>26</x:v>
      </x:c>
      <x:c r="G30" s="19" t="n">
        <x:f>DATE(2026,10,5)+7*(F30-1)</x:f>
        <x:v>46475</x:v>
      </x:c>
      <x:c r="H30" s="5" t="str">
        <x:v>No</x:v>
      </x:c>
      <x:c r="I30" s="1"/>
      <x:c r="J30" s="1"/>
      <x:c r="K30" s="1"/>
      <x:c r="L30" s="1"/>
    </x:row>
    <x:row r="31" ht="15" hidden="0" customHeight="1">
      <x:c r="A31" s="1"/>
      <x:c r="B31" s="1"/>
      <x:c r="C31" s="5" t="str">
        <x:v>NEW-2025</x:v>
      </x:c>
      <x:c r="D31" s="5" t="n">
        <x:v>25</x:v>
      </x:c>
      <x:c r="E31" s="30" t="n">
        <x:f>'Assumptions'!$I$39</x:f>
        <x:v>92000</x:v>
      </x:c>
      <x:c r="F31" s="16" t="n">
        <x:f>D31+'Assumptions'!$I$40+'Assumptions'!$D$8</x:f>
        <x:v>27</x:v>
      </x:c>
      <x:c r="G31" s="19" t="n">
        <x:f>DATE(2026,10,5)+7*(F31-1)</x:f>
        <x:v>46482</x:v>
      </x:c>
      <x:c r="H31" s="5" t="str">
        <x:v>No</x:v>
      </x:c>
      <x:c r="I31" s="1"/>
      <x:c r="J31" s="1"/>
      <x:c r="K31" s="1"/>
      <x:c r="L31" s="1"/>
    </x:row>
    <x:row r="32" ht="15" hidden="0" customHeight="1">
      <x:c r="A32" s="1"/>
      <x:c r="B32" s="1"/>
      <x:c r="C32" s="5" t="str">
        <x:v>NEW-2026</x:v>
      </x:c>
      <x:c r="D32" s="5" t="n">
        <x:v>26</x:v>
      </x:c>
      <x:c r="E32" s="30" t="n">
        <x:f>'Assumptions'!$I$39</x:f>
        <x:v>92000</x:v>
      </x:c>
      <x:c r="F32" s="16" t="n">
        <x:f>D32+'Assumptions'!$I$40+'Assumptions'!$D$8</x:f>
        <x:v>28</x:v>
      </x:c>
      <x:c r="G32" s="19" t="n">
        <x:f>DATE(2026,10,5)+7*(F32-1)</x:f>
        <x:v>46489</x:v>
      </x:c>
      <x:c r="H32" s="5" t="str">
        <x:v>No</x:v>
      </x:c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Decision ownership and approval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Roles and deadlines are proposed within a synthetic case.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Action</x:v>
      </x:c>
      <x:c r="D6" s="14" t="str">
        <x:v>Proposed owner</x:v>
      </x:c>
      <x:c r="E6" s="14" t="str">
        <x:v>Due from approval</x:v>
      </x:c>
      <x:c r="F6" s="14" t="str">
        <x:v>Trigger / evidence</x:v>
      </x:c>
      <x:c r="G6" s="14" t="str">
        <x:v>Approval needed</x:v>
      </x:c>
      <x:c r="H6" s="14" t="str">
        <x:v>Status</x:v>
      </x:c>
      <x:c r="I6" s="14" t="str">
        <x:v>Evidence link</x:v>
      </x:c>
      <x:c r="J6" s="1"/>
      <x:c r="K6" s="1"/>
      <x:c r="L6" s="1"/>
    </x:row>
    <x:row r="7" ht="26.399999618530273" hidden="0" customHeight="1">
      <x:c r="A7" s="1"/>
      <x:c r="B7" s="1"/>
      <x:c r="C7" s="5" t="str">
        <x:v>Verify bank and invoice opening balances</x:v>
      </x:c>
      <x:c r="D7" s="5" t="str">
        <x:v>Treasury + AR</x:v>
      </x:c>
      <x:c r="E7" s="5" t="str">
        <x:v>Day 1</x:v>
      </x:c>
      <x:c r="F7" s="5" t="str">
        <x:v>Opening bank / AR reconciled</x:v>
      </x:c>
      <x:c r="G7" s="5" t="str">
        <x:v>Treasury lead</x:v>
      </x:c>
      <x:c r="H7" s="5" t="str">
        <x:v>Proposed</x:v>
      </x:c>
      <x:c r="I7" s="5" t="str"/>
      <x:c r="J7" s="1"/>
      <x:c r="K7" s="1"/>
      <x:c r="L7" s="1"/>
    </x:row>
    <x:row r="8" ht="26.399999618530273" hidden="0" customHeight="1">
      <x:c r="A8" s="1"/>
      <x:c r="B8" s="1"/>
      <x:c r="C8" s="5" t="str">
        <x:v>Collect eligible overdue invoices</x:v>
      </x:c>
      <x:c r="D8" s="5" t="str">
        <x:v>AR + Account lead</x:v>
      </x:c>
      <x:c r="E8" s="5" t="str">
        <x:v>Week 2</x:v>
      </x:c>
      <x:c r="F8" s="5" t="str">
        <x:v>Customer consent and cash receipt</x:v>
      </x:c>
      <x:c r="G8" s="5" t="str">
        <x:v>Credit lead</x:v>
      </x:c>
      <x:c r="H8" s="5" t="str">
        <x:v>Proposed</x:v>
      </x:c>
      <x:c r="I8" s="5" t="str"/>
      <x:c r="J8" s="1"/>
      <x:c r="K8" s="1"/>
      <x:c r="L8" s="1"/>
    </x:row>
    <x:row r="9" ht="26.399999618530273" hidden="0" customHeight="1">
      <x:c r="A9" s="1"/>
      <x:c r="B9" s="1"/>
      <x:c r="C9" s="5" t="str">
        <x:v>Review capex timing</x:v>
      </x:c>
      <x:c r="D9" s="5" t="str">
        <x:v>Operations + Finance</x:v>
      </x:c>
      <x:c r="E9" s="5" t="str">
        <x:v>Before week 6</x:v>
      </x:c>
      <x:c r="F9" s="5" t="str">
        <x:v>Operational impact of deferral</x:v>
      </x:c>
      <x:c r="G9" s="5" t="str">
        <x:v>Finance lead</x:v>
      </x:c>
      <x:c r="H9" s="5" t="str">
        <x:v>Proposed</x:v>
      </x:c>
      <x:c r="I9" s="5" t="str"/>
      <x:c r="J9" s="1"/>
      <x:c r="K9" s="1"/>
      <x:c r="L9" s="1"/>
    </x:row>
    <x:row r="10" ht="26.399999618530273" hidden="0" customHeight="1">
      <x:c r="A10" s="1"/>
      <x:c r="B10" s="1"/>
      <x:c r="C10" s="5" t="str">
        <x:v>Arrange liquidity contingency</x:v>
      </x:c>
      <x:c r="D10" s="5" t="str">
        <x:v>Treasury</x:v>
      </x:c>
      <x:c r="E10" s="5" t="str">
        <x:v>Before floor breach</x:v>
      </x:c>
      <x:c r="F10" s="5" t="str">
        <x:v>Confirmed facility and covenants</x:v>
      </x:c>
      <x:c r="G10" s="5" t="str">
        <x:v>Treasury lead</x:v>
      </x:c>
      <x:c r="H10" s="5" t="str">
        <x:v>Proposed</x:v>
      </x:c>
      <x:c r="I10" s="5" t="str"/>
      <x:c r="J10" s="1"/>
      <x:c r="K10" s="1"/>
      <x:c r="L10" s="1"/>
    </x:row>
    <x:row r="11" ht="26.399999618530273" hidden="0" customHeight="1">
      <x:c r="A11" s="1"/>
      <x:c r="B11" s="1"/>
      <x:c r="C11" s="5" t="str">
        <x:v>Refresh receipts / payments</x:v>
      </x:c>
      <x:c r="D11" s="5" t="str">
        <x:v>Treasury + AP</x:v>
      </x:c>
      <x:c r="E11" s="5" t="str">
        <x:v>Every Monday</x:v>
      </x:c>
      <x:c r="F11" s="5" t="str">
        <x:v>Prior week actuals reconciled</x:v>
      </x:c>
      <x:c r="G11" s="5" t="str">
        <x:v>Finance lead</x:v>
      </x:c>
      <x:c r="H11" s="5" t="str">
        <x:v>Proposed</x:v>
      </x:c>
      <x:c r="I11" s="5" t="str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4:I4"/>
  </x:mergeCells>
  <x:dataValidations count="1">
    <x:dataValidation type="list" sqref="H7:H11">
      <x:formula1>"Proposed,In progress,Completed,Blocked"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Reconciliation checks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Check</x:v>
      </x:c>
      <x:c r="D6" s="14" t="str">
        <x:v>Difference</x:v>
      </x:c>
      <x:c r="E6" s="14" t="str">
        <x:v>Tolerance (USD)</x:v>
      </x:c>
      <x:c r="F6" s="1"/>
      <x:c r="G6" s="1"/>
      <x:c r="H6" s="1"/>
      <x:c r="I6" s="1"/>
      <x:c r="J6" s="1"/>
      <x:c r="K6" s="1"/>
      <x:c r="L6" s="1"/>
    </x:row>
    <x:row r="7" ht="15" hidden="0" customHeight="1">
      <x:c r="A7" s="1"/>
      <x:c r="B7" s="1"/>
      <x:c r="C7" s="5" t="str">
        <x:v>Invoices collected plus carried forward</x:v>
      </x:c>
      <x:c r="D7" s="40" t="n">
        <x:f>SUM('Invoices'!F7:F32,'New Invoices'!E7:E32)-SUM('Weekly'!D8:AC8,'Weekly'!D10:AC10)-'Summary'!D10</x:f>
        <x:v>0</x:v>
      </x:c>
      <x:c r="E7" s="40" t="n">
        <x:v>0.01</x:v>
      </x:c>
      <x:c r="F7" s="1"/>
      <x:c r="G7" s="1"/>
      <x:c r="H7" s="1"/>
      <x:c r="I7" s="1"/>
      <x:c r="J7" s="1"/>
      <x:c r="K7" s="1"/>
      <x:c r="L7" s="1"/>
    </x:row>
    <x:row r="8" ht="15" hidden="0" customHeight="1">
      <x:c r="A8" s="1"/>
      <x:c r="B8" s="1"/>
      <x:c r="C8" s="5" t="str">
        <x:v>Cash roll-forward</x:v>
      </x:c>
      <x:c r="D8" s="40" t="n">
        <x:f>'Weekly'!AC27-'Assumptions'!G9-SUM('Weekly'!D18:AC18,'Weekly'!D24:AC24)+SUM('Weekly'!D20:AC21,'Weekly'!D25:AC25)</x:f>
        <x:v>4.6560444388887845e-10</x:v>
      </x:c>
      <x:c r="E8" s="40" t="n">
        <x:v>0.01</x:v>
      </x:c>
      <x:c r="F8" s="1"/>
      <x:c r="G8" s="1"/>
      <x:c r="H8" s="1"/>
      <x:c r="I8" s="1"/>
      <x:c r="J8" s="1"/>
      <x:c r="K8" s="1"/>
      <x:c r="L8" s="1"/>
    </x:row>
    <x:row r="9" ht="15" hidden="0" customHeight="1">
      <x:c r="A9" s="1"/>
      <x:c r="B9" s="1"/>
      <x:c r="C9" s="5" t="str">
        <x:v>Capex paid plus future obligation</x:v>
      </x:c>
      <x:c r="D9" s="40" t="n">
        <x:f>'Assumptions'!G16-SUM('Weekly'!D16:AC16)-'Summary'!D11</x:f>
        <x:v>0</x:v>
      </x:c>
      <x:c r="E9" s="40" t="n">
        <x:v>0.01</x:v>
      </x:c>
      <x:c r="F9" s="1"/>
      <x:c r="G9" s="1"/>
      <x:c r="H9" s="1"/>
      <x:c r="I9" s="1"/>
      <x:c r="J9" s="1"/>
      <x:c r="K9" s="1"/>
      <x:c r="L9" s="1"/>
    </x:row>
    <x:row r="10" ht="15" hidden="0" customHeight="1">
      <x:c r="A10" s="1"/>
      <x:c r="B10" s="1"/>
      <x:c r="C10" s="5" t="str">
        <x:v>Simulated review bridge</x:v>
      </x:c>
      <x:c r="D10" s="40" t="n">
        <x:f>SUM('Review'!J7:J10)-SUM('Review'!F7:F10)+SUM('Review'!I7:I10)</x:f>
        <x:v>0</x:v>
      </x:c>
      <x:c r="E10" s="40" t="n">
        <x:v>0.01</x:v>
      </x:c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D7:D10">
    <x:cfRule type="expression" dxfId="2" priority="1">
      <x:formula>ABS(D7)&gt;E7</x:formula>
    </x:cfRule>
  </x:conditionalFormatting>
  <x:pageMargins left="0.7" right="0.7" top="0.75" bottom="0.75" header="0.3" footer="0.3"/>
</x:worksheet>
</file>