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1c550e8ef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ment Summary" sheetId="1" r:id="R9446532dad884e8f"/>
    <x:sheet xmlns:r="http://schemas.openxmlformats.org/officeDocument/2006/relationships" name="Assumptions" sheetId="2" r:id="R7acbb38863ee46a7"/>
    <x:sheet xmlns:r="http://schemas.openxmlformats.org/officeDocument/2006/relationships" name="Income Statement" sheetId="3" r:id="R63a98b5d88fc41d1"/>
    <x:sheet xmlns:r="http://schemas.openxmlformats.org/officeDocument/2006/relationships" name="Balance Sheet" sheetId="4" r:id="R20ac843a03a042f4"/>
    <x:sheet xmlns:r="http://schemas.openxmlformats.org/officeDocument/2006/relationships" name="Cash Flow" sheetId="5" r:id="Rdb23f343b70e40eb"/>
    <x:sheet xmlns:r="http://schemas.openxmlformats.org/officeDocument/2006/relationships" name="DCF" sheetId="6" r:id="R66cd8e9e96d544ed"/>
    <x:sheet xmlns:r="http://schemas.openxmlformats.org/officeDocument/2006/relationships" name="Comps" sheetId="7" r:id="R659b0fee5c2e42f5"/>
    <x:sheet xmlns:r="http://schemas.openxmlformats.org/officeDocument/2006/relationships" name="SEC Actuals" sheetId="8" r:id="R40b3a7e94d464e37"/>
    <x:sheet xmlns:r="http://schemas.openxmlformats.org/officeDocument/2006/relationships" name="Checks" sheetId="9" r:id="R4174198088e24d06"/>
    <x:sheet xmlns:r="http://schemas.openxmlformats.org/officeDocument/2006/relationships" name="Sources" sheetId="10" r:id="Rb9f99cccc23a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.0;($#,##0.0);-"/>
    <x:numFmt numFmtId="201" formatCode="0.0%;(0.0%);-"/>
    <x:numFmt numFmtId="202" formatCode="#,##0.0"/>
    <x:numFmt numFmtId="203" formatCode="$0.00;($0.00);-"/>
    <x:numFmt numFmtId="204" formatCode="mmm d, yyyy"/>
    <x:numFmt numFmtId="205" formatCode="0.000x"/>
    <x:numFmt numFmtId="206" formatCode="0.0x"/>
    <x:numFmt numFmtId="207" formatCode="0.00;(0.00);-"/>
  </x:numFmts>
  <x:fonts count="17">
    <x:font>
      <x:sz val="11"/>
      <x:name val="Carlito"/>
    </x:font>
    <x:font>
      <x:sz val="9"/>
      <x:color rgb="FFC00000"/>
      <x:name val="Arial"/>
    </x:font>
    <x:font>
      <x:sz val="8"/>
      <x:color rgb="FF667085"/>
      <x:name val="Arial"/>
    </x:font>
    <x:font>
      <x:sz val="9"/>
      <x:color rgb="FF1F2937"/>
      <x:name val="Arial"/>
    </x:font>
    <x:font>
      <x:b/>
      <x:sz val="15"/>
      <x:color rgb="FF17324D"/>
      <x:name val="Arial"/>
    </x:font>
    <x:font>
      <x:b/>
      <x:sz val="9"/>
      <x:color rgb="FFFFFFFF"/>
      <x:name val="Arial"/>
    </x:font>
    <x:font>
      <x:sz val="9"/>
      <x:color rgb="FF2F75B5"/>
      <x:name val="Arial"/>
    </x:font>
    <x:font>
      <x:b/>
      <x:sz val="9"/>
      <x:color rgb="FF1F2937"/>
      <x:name val="Arial"/>
    </x:font>
    <x:font>
      <x:b/>
      <x:sz val="9"/>
      <x:color rgb="FF17324D"/>
      <x:name val="Arial"/>
    </x:font>
    <x:font>
      <x:b/>
      <x:sz val="8"/>
      <x:color rgb="FF1F2937"/>
      <x:name val="Arial"/>
    </x:font>
    <x:font>
      <x:sz val="8"/>
      <x:color rgb="FF1F2937"/>
      <x:name val="Arial"/>
    </x:font>
    <x:font>
      <x:sz val="9"/>
      <x:color rgb="FF008000"/>
      <x:name val="Arial"/>
    </x:font>
    <x:font>
      <x:i/>
      <x:sz val="8"/>
      <x:color rgb="FF667085"/>
      <x:name val="Arial"/>
    </x:font>
    <x:font>
      <x:i/>
      <x:sz val="9"/>
      <x:color rgb="FF1F2937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sz val="8"/>
      <x:color rgb="FF2F75B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1F8"/>
      </x:patternFill>
    </x:fill>
    <x:fill>
      <x:patternFill patternType="solid">
        <x:fgColor rgb="FFF6F8FA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201" fontId="6" fillId="3" borderId="0" xfId="0" applyNumberFormat="1" applyFont="1" applyFill="1" applyBorder="1"/>
    <x:xf numFmtId="202" fontId="6" fillId="3" borderId="0" xfId="0" applyNumberFormat="1" applyFont="1" applyFill="1" applyBorder="1"/>
    <x:xf numFmtId="203" fontId="6" fillId="3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3" borderId="0" xfId="0" applyNumberFormat="1" applyFont="1" applyFill="1" applyBorder="1"/>
    <x:xf numFmtId="0" fontId="7" fillId="2" borderId="0" xfId="0" applyNumberFormat="1" applyFont="1" applyFill="1" applyBorder="1"/>
    <x:xf numFmtId="202" fontId="3" fillId="3" borderId="0" xfId="0" applyNumberFormat="1" applyFont="1" applyFill="1" applyBorder="1"/>
    <x:xf numFmtId="203" fontId="3" fillId="3" borderId="0" xfId="0" applyNumberFormat="1" applyFont="1" applyFill="1" applyBorder="1"/>
    <x:xf numFmtId="204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 wrapText="1"/>
    </x:xf>
    <x:xf numFmtId="201" fontId="5" fillId="2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203" fontId="3" fillId="0" borderId="1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3" fillId="0" borderId="0" xfId="0" applyNumberFormat="1" applyFont="1" applyFill="1" applyBorder="1"/>
    <x:xf numFmtId="206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3" fillId="0" borderId="0" xfId="0" applyNumberFormat="1" applyFont="1" applyFill="1" applyBorder="1"/>
    <x:xf numFmtId="207" fontId="3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203" fontId="15" fillId="0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201" fontId="15" fillId="4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cee4c0b964c79" /><Relationship Type="http://schemas.openxmlformats.org/officeDocument/2006/relationships/theme" Target="/xl/theme/theme1.xml" Id="Rc92cde7f063d4d7b" /><Relationship Type="http://schemas.openxmlformats.org/officeDocument/2006/relationships/sharedStrings" Target="/xl/sharedStrings.xml" Id="R2b9a0abf0dba418c" /><Relationship Type="http://schemas.openxmlformats.org/officeDocument/2006/relationships/worksheet" Target="/xl/worksheets/sheet1.xml" Id="R9446532dad884e8f" /><Relationship Type="http://schemas.openxmlformats.org/officeDocument/2006/relationships/worksheet" Target="/xl/worksheets/sheet2.xml" Id="R7acbb38863ee46a7" /><Relationship Type="http://schemas.openxmlformats.org/officeDocument/2006/relationships/worksheet" Target="/xl/worksheets/sheet3.xml" Id="R63a98b5d88fc41d1" /><Relationship Type="http://schemas.openxmlformats.org/officeDocument/2006/relationships/worksheet" Target="/xl/worksheets/sheet4.xml" Id="R20ac843a03a042f4" /><Relationship Type="http://schemas.openxmlformats.org/officeDocument/2006/relationships/worksheet" Target="/xl/worksheets/sheet5.xml" Id="Rdb23f343b70e40eb" /><Relationship Type="http://schemas.openxmlformats.org/officeDocument/2006/relationships/worksheet" Target="/xl/worksheets/sheet6.xml" Id="R66cd8e9e96d544ed" /><Relationship Type="http://schemas.openxmlformats.org/officeDocument/2006/relationships/worksheet" Target="/xl/worksheets/sheet7.xml" Id="R659b0fee5c2e42f5" /><Relationship Type="http://schemas.openxmlformats.org/officeDocument/2006/relationships/worksheet" Target="/xl/worksheets/sheet8.xml" Id="R40b3a7e94d464e37" /><Relationship Type="http://schemas.openxmlformats.org/officeDocument/2006/relationships/worksheet" Target="/xl/worksheets/sheet9.xml" Id="R4174198088e24d06" /><Relationship Type="http://schemas.openxmlformats.org/officeDocument/2006/relationships/worksheet" Target="/xl/worksheets/sheet10.xml" Id="Rb9f99cccc23a4e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3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2">
      <x:c r="A2" s="11" t="str">
        <x:v>J.B. Hunt Transport Services | Investment summary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15" t="str">
        <x:v>Valuation metric</x:v>
      </x:c>
      <x:c r="B4" s="15" t="str">
        <x:v>Base case</x:v>
      </x:c>
      <x:c r="C4" s="8"/>
      <x:c r="D4" s="15" t="str">
        <x:v>Investment view</x:v>
      </x:c>
      <x:c r="E4" s="15"/>
      <x:c r="F4" s="15"/>
      <x:c r="G4" s="15"/>
      <x:c r="H4" s="15"/>
      <x:c r="I4" s="15"/>
    </x:row>
    <x:row r="5">
      <x:c r="A5" s="8" t="str">
        <x:v>Current share price</x:v>
      </x:c>
      <x:c r="B5" s="80" t="n">
        <x:f>Assumptions!B21</x:f>
        <x:v>226.07</x:v>
      </x:c>
      <x:c r="C5" s="8"/>
      <x:c r="D5" s="78" t="str">
        <x:v>Watch and remain valuation-sensitive. The base case tests a gradual revenue and margin recovery against current market pricing. Revisit if the share price enters the DCF range or reported margins, freight volumes, and capital spending materially change the assumptions.</x:v>
      </x:c>
      <x:c r="E5" s="78"/>
      <x:c r="F5" s="78"/>
      <x:c r="G5" s="78"/>
      <x:c r="H5" s="78"/>
      <x:c r="I5" s="78"/>
    </x:row>
    <x:row r="6">
      <x:c r="A6" s="8" t="str">
        <x:v>DCF value per share</x:v>
      </x:c>
      <x:c r="B6" s="80" t="n">
        <x:f>DCF!I12</x:f>
        <x:v>149.95878952954268</x:v>
      </x:c>
      <x:c r="C6" s="8"/>
      <x:c r="D6" s="78"/>
      <x:c r="E6" s="78"/>
      <x:c r="F6" s="78"/>
      <x:c r="G6" s="78"/>
      <x:c r="H6" s="78"/>
      <x:c r="I6" s="78"/>
    </x:row>
    <x:row r="7">
      <x:c r="A7" s="37" t="str">
        <x:v>DCF upside / (downside)</x:v>
      </x:c>
      <x:c r="B7" s="83" t="n">
        <x:f>B6/B5-1</x:f>
        <x:v>-0.3366709889435012</x:v>
      </x:c>
      <x:c r="C7" s="8"/>
      <x:c r="D7" s="78"/>
      <x:c r="E7" s="78"/>
      <x:c r="F7" s="78"/>
      <x:c r="G7" s="78"/>
      <x:c r="H7" s="78"/>
      <x:c r="I7" s="78"/>
    </x:row>
    <x:row r="8">
      <x:c r="A8" s="8" t="str">
        <x:v>FY2025 revenue ($mm)</x:v>
      </x:c>
      <x:c r="B8" s="82" t="n">
        <x:f>'Income Statement'!F5</x:f>
        <x:v>11999.096</x:v>
      </x:c>
      <x:c r="C8" s="8"/>
      <x:c r="D8" s="78"/>
      <x:c r="E8" s="78"/>
      <x:c r="F8" s="78"/>
      <x:c r="G8" s="78"/>
      <x:c r="H8" s="78"/>
      <x:c r="I8" s="78"/>
    </x:row>
    <x:row r="9">
      <x:c r="A9" s="8" t="str">
        <x:v>FY2025 EBIT margin</x:v>
      </x:c>
      <x:c r="B9" s="81" t="n">
        <x:f>'Income Statement'!F8</x:f>
        <x:v>0.07209451445342216</x:v>
      </x:c>
      <x:c r="C9" s="8"/>
      <x:c r="D9" s="78"/>
      <x:c r="E9" s="78"/>
      <x:c r="F9" s="78"/>
      <x:c r="G9" s="78"/>
      <x:c r="H9" s="78"/>
      <x:c r="I9" s="78"/>
    </x:row>
    <x:row r="10">
      <x:c r="A10" s="8" t="str">
        <x:v>FY2030 unlevered free cash flow ($mm)</x:v>
      </x:c>
      <x:c r="B10" s="82" t="n">
        <x:f>DCF!F11</x:f>
        <x:v>989.1298425129017</x:v>
      </x:c>
      <x:c r="C10" s="8"/>
      <x:c r="D10" s="8"/>
      <x:c r="E10" s="8"/>
      <x:c r="F10" s="8"/>
      <x:c r="G10" s="8"/>
      <x:c r="H10" s="8"/>
      <x:c r="I10" s="8"/>
    </x:row>
    <x:row r="11">
      <x:c r="A11" s="8"/>
      <x:c r="B11" s="8"/>
      <x:c r="C11" s="8"/>
      <x:c r="D11" s="56" t="str">
        <x:v>Main value drivers: operating margin, equipment capital spending, working capital and the discount rate.</x:v>
      </x:c>
      <x:c r="E11" s="56"/>
      <x:c r="F11" s="56"/>
      <x:c r="G11" s="56"/>
      <x:c r="H11" s="56"/>
      <x:c r="I11" s="56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</x:row>
    <x:row r="14">
      <x:c r="A14" s="8"/>
      <x:c r="B14" s="8"/>
      <x:c r="C14" s="8"/>
      <x:c r="D14" s="15" t="str">
        <x:v>Forecast ($mm)</x:v>
      </x:c>
      <x:c r="E14" s="15" t="str">
        <x:v>2025A</x:v>
      </x:c>
      <x:c r="F14" s="15" t="str">
        <x:v>2026E</x:v>
      </x:c>
      <x:c r="G14" s="15" t="str">
        <x:v>2028E</x:v>
      </x:c>
      <x:c r="H14" s="15" t="str">
        <x:v>2030E</x:v>
      </x:c>
      <x:c r="I14" s="8"/>
    </x:row>
    <x:row r="15">
      <x:c r="A15" s="8"/>
      <x:c r="B15" s="8"/>
      <x:c r="C15" s="8"/>
      <x:c r="D15" s="8" t="str">
        <x:v>Revenue</x:v>
      </x:c>
      <x:c r="E15" s="9" t="n">
        <x:f>'Income Statement'!F5</x:f>
        <x:v>11999.096</x:v>
      </x:c>
      <x:c r="F15" s="9" t="n">
        <x:f>'Income Statement'!G5</x:f>
        <x:v>12479.05984</x:v>
      </x:c>
      <x:c r="G15" s="9" t="n">
        <x:f>'Income Statement'!I5</x:f>
        <x:v>13758.163473600001</x:v>
      </x:c>
      <x:c r="H15" s="9" t="n">
        <x:f>'Income Statement'!K5</x:f>
        <x:v>14952.372063108482</x:v>
      </x:c>
      <x:c r="I15" s="8"/>
    </x:row>
    <x:row r="16">
      <x:c r="A16" s="8"/>
      <x:c r="B16" s="8"/>
      <x:c r="C16" s="8"/>
      <x:c r="D16" s="8" t="str">
        <x:v>EBIT</x:v>
      </x:c>
      <x:c r="E16" s="9" t="n">
        <x:f>'Income Statement'!F7</x:f>
        <x:v>865.069</x:v>
      </x:c>
      <x:c r="F16" s="9" t="n">
        <x:f>'Income Statement'!G7</x:f>
        <x:v>935.929488</x:v>
      </x:c>
      <x:c r="G16" s="9" t="n">
        <x:f>'Income Statement'!I7</x:f>
        <x:v>1114.4112413616</x:v>
      </x:c>
      <x:c r="H16" s="9" t="n">
        <x:f>'Income Statement'!K7</x:f>
        <x:v>1345.7134856797634</x:v>
      </x:c>
      <x:c r="I16" s="8"/>
    </x:row>
    <x:row r="17">
      <x:c r="A17" s="8"/>
      <x:c r="B17" s="8"/>
      <x:c r="C17" s="8"/>
      <x:c r="D17" s="8" t="str">
        <x:v>Unlevered free cash flow</x:v>
      </x:c>
      <x:c r="E17" s="9"/>
      <x:c r="F17" s="9" t="n">
        <x:f>DCF!B11</x:f>
        <x:v>634.647985104</x:v>
      </x:c>
      <x:c r="G17" s="9" t="n">
        <x:f>DCF!D11</x:f>
        <x:v>784.0750595980847</x:v>
      </x:c>
      <x:c r="H17" s="9" t="n">
        <x:f>DCF!F11</x:f>
        <x:v>989.1298425129017</x:v>
      </x:c>
      <x:c r="I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 ht="26" customHeight="1">
      <x:c r="A20" s="79" t="str">
        <x:v>Project application: Five years of SEC-reported financials, an integrated forecast, discounted cash flow, WACC / terminal-growth sensitivity, and trading comps. Applies methods from the CFI Valuation Modeling certificate.</x:v>
      </x:c>
      <x:c r="B20" s="79"/>
      <x:c r="C20" s="79"/>
      <x:c r="D20" s="79"/>
      <x:c r="E20" s="79"/>
      <x:c r="F20" s="79"/>
      <x:c r="G20" s="79"/>
      <x:c r="H20" s="79"/>
      <x:c r="I20" s="79"/>
    </x:row>
    <x:row r="21" ht="26" customHeight="1">
      <x:c r="A21" s="79"/>
      <x:c r="B21" s="79"/>
      <x:c r="C21" s="79"/>
      <x:c r="D21" s="79"/>
      <x:c r="E21" s="79"/>
      <x:c r="F21" s="79"/>
      <x:c r="G21" s="79"/>
      <x:c r="H21" s="79"/>
      <x:c r="I21" s="79"/>
    </x:row>
  </x:sheetData>
  <x:mergeCells>
    <x:mergeCell ref="D4:I4"/>
    <x:mergeCell ref="D5:I9"/>
    <x:mergeCell ref="D11:I11"/>
    <x:mergeCell ref="A20:I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2">
      <x:c r="A2" s="11" t="str">
        <x:v>J.B. Hunt operating assumptions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5" t="str">
        <x:v>Driver</x:v>
      </x:c>
      <x:c r="B4" s="15" t="str">
        <x:v>2021A</x:v>
      </x:c>
      <x:c r="C4" s="15" t="str">
        <x:v>2022A</x:v>
      </x:c>
      <x:c r="D4" s="15" t="str">
        <x:v>2023A</x:v>
      </x:c>
      <x:c r="E4" s="15" t="str">
        <x:v>2024A</x:v>
      </x:c>
      <x:c r="F4" s="15" t="str">
        <x:v>2025A</x:v>
      </x:c>
      <x:c r="G4" s="15" t="str">
        <x:v>2026E</x:v>
      </x:c>
      <x:c r="H4" s="15" t="str">
        <x:v>2027E</x:v>
      </x:c>
      <x:c r="I4" s="15" t="str">
        <x:v>2028E</x:v>
      </x:c>
      <x:c r="J4" s="15" t="str">
        <x:v>2029E</x:v>
      </x:c>
      <x:c r="K4" s="15" t="str">
        <x:v>2030E</x:v>
      </x:c>
    </x:row>
    <x:row r="5">
      <x:c r="A5" s="8" t="str">
        <x:v>Revenue growth</x:v>
      </x:c>
      <x:c r="B5" s="31"/>
      <x:c r="C5" s="31" t="n">
        <x:f>'Income Statement'!C5/'Income Statement'!B5-1</x:f>
        <x:v>0.2174253235989705</x:v>
      </x:c>
      <x:c r="D5" s="31" t="n">
        <x:f>'Income Statement'!D5/'Income Statement'!C5-1</x:f>
        <x:v>-0.13394992128729044</x:v>
      </x:c>
      <x:c r="E5" s="31" t="n">
        <x:f>'Income Statement'!E5/'Income Statement'!D5-1</x:f>
        <x:v>-0.057870645882024285</x:v>
      </x:c>
      <x:c r="F5" s="31" t="n">
        <x:f>'Income Statement'!F5/'Income Statement'!E5-1</x:f>
        <x:v>-0.007289361543000417</x:v>
      </x:c>
      <x:c r="G5" s="32" t="n">
        <x:v>0.04</x:v>
      </x:c>
      <x:c r="H5" s="32" t="n">
        <x:v>0.05</x:v>
      </x:c>
      <x:c r="I5" s="32" t="n">
        <x:v>0.05</x:v>
      </x:c>
      <x:c r="J5" s="32" t="n">
        <x:v>0.045</x:v>
      </x:c>
      <x:c r="K5" s="32" t="n">
        <x:v>0.04</x:v>
      </x:c>
    </x:row>
    <x:row r="6">
      <x:c r="A6" s="8" t="str">
        <x:v>EBIT margin</x:v>
      </x:c>
      <x:c r="B6" s="31" t="n">
        <x:f>'Income Statement'!B7/'Income Statement'!B5</x:f>
        <x:v>0.08592242368738054</x:v>
      </x:c>
      <x:c r="C6" s="31" t="n">
        <x:f>'Income Statement'!C7/'Income Statement'!C5</x:f>
        <x:v>0.08988477722997013</x:v>
      </x:c>
      <x:c r="D6" s="31" t="n">
        <x:f>'Income Statement'!D7/'Income Statement'!D5</x:f>
        <x:v>0.07741402445036562</x:v>
      </x:c>
      <x:c r="E6" s="31" t="n">
        <x:f>'Income Statement'!E7/'Income Statement'!E5</x:f>
        <x:v>0.06876900563604288</x:v>
      </x:c>
      <x:c r="F6" s="31" t="n">
        <x:f>'Income Statement'!F7/'Income Statement'!F5</x:f>
        <x:v>0.07209451445342216</x:v>
      </x:c>
      <x:c r="G6" s="32" t="n">
        <x:v>0.075</x:v>
      </x:c>
      <x:c r="H6" s="32" t="n">
        <x:v>0.078</x:v>
      </x:c>
      <x:c r="I6" s="32" t="n">
        <x:v>0.081</x:v>
      </x:c>
      <x:c r="J6" s="32" t="n">
        <x:v>0.086</x:v>
      </x:c>
      <x:c r="K6" s="32" t="n">
        <x:v>0.09</x:v>
      </x:c>
    </x:row>
    <x:row r="7">
      <x:c r="A7" s="8" t="str">
        <x:v>Tax rate</x:v>
      </x:c>
      <x:c r="B7" s="31" t="n">
        <x:f>'Income Statement'!B11/'Income Statement'!B10</x:f>
        <x:v>0.2390204966732415</x:v>
      </x:c>
      <x:c r="C7" s="31" t="n">
        <x:f>'Income Statement'!C11/'Income Statement'!C10</x:f>
        <x:v>0.24350598927868777</x:v>
      </x:c>
      <x:c r="D7" s="31" t="n">
        <x:f>'Income Statement'!D11/'Income Statement'!D10</x:f>
        <x:v>0.22098927463960885</x:v>
      </x:c>
      <x:c r="E7" s="31" t="n">
        <x:f>'Income Statement'!E11/'Income Statement'!E10</x:f>
        <x:v>0.24835553168070193</x:v>
      </x:c>
      <x:c r="F7" s="31" t="n">
        <x:f>'Income Statement'!F11/'Income Statement'!F10</x:f>
        <x:v>0.24660249435847842</x:v>
      </x:c>
      <x:c r="G7" s="32" t="n">
        <x:v>0.247</x:v>
      </x:c>
      <x:c r="H7" s="32" t="n">
        <x:v>0.247</x:v>
      </x:c>
      <x:c r="I7" s="32" t="n">
        <x:v>0.247</x:v>
      </x:c>
      <x:c r="J7" s="32" t="n">
        <x:v>0.247</x:v>
      </x:c>
      <x:c r="K7" s="32" t="n">
        <x:v>0.247</x:v>
      </x:c>
    </x:row>
    <x:row r="8">
      <x:c r="A8" s="8" t="str">
        <x:v>D&amp;A as % of revenue</x:v>
      </x:c>
      <x:c r="B8" s="31" t="n">
        <x:f>'SEC Actuals'!B20/'SEC Actuals'!B5</x:f>
        <x:v>0.04578231210895324</x:v>
      </x:c>
      <x:c r="C8" s="31" t="n">
        <x:f>'SEC Actuals'!C20/'SEC Actuals'!C5</x:f>
        <x:v>0.04350749584902767</x:v>
      </x:c>
      <x:c r="D8" s="31" t="n">
        <x:f>'SEC Actuals'!D20/'SEC Actuals'!D5</x:f>
        <x:v>0.05751935066114352</x:v>
      </x:c>
      <x:c r="E8" s="31" t="n">
        <x:f>'SEC Actuals'!E20/'SEC Actuals'!E5</x:f>
        <x:v>0.062970807806338</x:v>
      </x:c>
      <x:c r="F8" s="31" t="n">
        <x:f>'SEC Actuals'!F20/'SEC Actuals'!F5</x:f>
        <x:v>0.05956990426612138</x:v>
      </x:c>
      <x:c r="G8" s="32" t="n">
        <x:v>0.058</x:v>
      </x:c>
      <x:c r="H8" s="32" t="n">
        <x:v>0.057</x:v>
      </x:c>
      <x:c r="I8" s="32" t="n">
        <x:v>0.056</x:v>
      </x:c>
      <x:c r="J8" s="32" t="n">
        <x:v>0.055</x:v>
      </x:c>
      <x:c r="K8" s="32" t="n">
        <x:v>0.054</x:v>
      </x:c>
    </x:row>
    <x:row r="9">
      <x:c r="A9" s="8" t="str">
        <x:v>Capital expenditures as % of revenue</x:v>
      </x:c>
      <x:c r="B9" s="31" t="n">
        <x:f>'SEC Actuals'!B22/'SEC Actuals'!B5</x:f>
        <x:v>0.07787142363823646</x:v>
      </x:c>
      <x:c r="C9" s="31" t="n">
        <x:f>'SEC Actuals'!C22/'SEC Actuals'!C5</x:f>
        <x:v>0.10400945754080314</x:v>
      </x:c>
      <x:c r="D9" s="31" t="n">
        <x:f>'SEC Actuals'!D22/'SEC Actuals'!D5</x:f>
        <x:v>0.14516598835589237</x:v>
      </x:c>
      <x:c r="E9" s="31" t="n">
        <x:f>'SEC Actuals'!E22/'SEC Actuals'!E5</x:f>
        <x:v>0.07159414203648752</x:v>
      </x:c>
      <x:c r="F9" s="31" t="n">
        <x:f>'SEC Actuals'!F22/'SEC Actuals'!F5</x:f>
        <x:v>0.060895170769531305</x:v>
      </x:c>
      <x:c r="G9" s="32" t="n">
        <x:v>0.062</x:v>
      </x:c>
      <x:c r="H9" s="32" t="n">
        <x:v>0.06</x:v>
      </x:c>
      <x:c r="I9" s="32" t="n">
        <x:v>0.058</x:v>
      </x:c>
      <x:c r="J9" s="32" t="n">
        <x:v>0.056</x:v>
      </x:c>
      <x:c r="K9" s="32" t="n">
        <x:v>0.054</x:v>
      </x:c>
    </x:row>
    <x:row r="10">
      <x:c r="A10" s="8" t="str">
        <x:v>Accounts receivable as % of revenue</x:v>
      </x:c>
      <x:c r="B10" s="31" t="n">
        <x:f>'SEC Actuals'!B14/'SEC Actuals'!B5</x:f>
        <x:v>0.12381505652966207</x:v>
      </x:c>
      <x:c r="C10" s="31" t="n">
        <x:f>'SEC Actuals'!C14/'SEC Actuals'!C5</x:f>
        <x:v>0.10315074275352658</x:v>
      </x:c>
      <x:c r="D10" s="31" t="n">
        <x:f>'SEC Actuals'!D14/'SEC Actuals'!D5</x:f>
        <x:v>0.10404885864128174</x:v>
      </x:c>
      <x:c r="E10" s="31" t="n">
        <x:f>'SEC Actuals'!E14/'SEC Actuals'!E5</x:f>
        <x:v>0.10127784721760301</x:v>
      </x:c>
      <x:c r="F10" s="31" t="n">
        <x:f>'SEC Actuals'!F14/'SEC Actuals'!F5</x:f>
        <x:v>0.09670486843342199</x:v>
      </x:c>
      <x:c r="G10" s="32" t="n">
        <x:v>0.09670486843342198</x:v>
      </x:c>
      <x:c r="H10" s="32" t="n">
        <x:v>0.09670486843342198</x:v>
      </x:c>
      <x:c r="I10" s="32" t="n">
        <x:v>0.09670486843342198</x:v>
      </x:c>
      <x:c r="J10" s="32" t="n">
        <x:v>0.09670486843342198</x:v>
      </x:c>
      <x:c r="K10" s="32" t="n">
        <x:v>0.09670486843342198</x:v>
      </x:c>
    </x:row>
    <x:row r="11">
      <x:c r="A11" s="8" t="str">
        <x:v>Accounts payable as % of revenue</x:v>
      </x:c>
      <x:c r="B11" s="31" t="n">
        <x:f>'SEC Actuals'!B15/'SEC Actuals'!B5</x:f>
        <x:v>0.06350401231001664</x:v>
      </x:c>
      <x:c r="C11" s="31" t="n">
        <x:f>'SEC Actuals'!C15/'SEC Actuals'!C5</x:f>
        <x:v>0.05392034925883281</x:v>
      </x:c>
      <x:c r="D11" s="31" t="n">
        <x:f>'SEC Actuals'!D15/'SEC Actuals'!D5</x:f>
        <x:v>0.05747336349000539</x:v>
      </x:c>
      <x:c r="E11" s="31" t="n">
        <x:f>'SEC Actuals'!E15/'SEC Actuals'!E5</x:f>
        <x:v>0.053438743980824675</x:v>
      </x:c>
      <x:c r="F11" s="31" t="n">
        <x:f>'SEC Actuals'!F15/'SEC Actuals'!F5</x:f>
        <x:v>0.054637782712964385</x:v>
      </x:c>
      <x:c r="G11" s="32" t="n">
        <x:v>0.05463778271296438</x:v>
      </x:c>
      <x:c r="H11" s="32" t="n">
        <x:v>0.05463778271296438</x:v>
      </x:c>
      <x:c r="I11" s="32" t="n">
        <x:v>0.05463778271296438</x:v>
      </x:c>
      <x:c r="J11" s="32" t="n">
        <x:v>0.05463778271296438</x:v>
      </x:c>
      <x:c r="K11" s="32" t="n">
        <x:v>0.05463778271296438</x:v>
      </x:c>
    </x:row>
    <x:row r="12">
      <x:c r="A12" s="8" t="str">
        <x:v>Dividends as % of net income</x:v>
      </x:c>
      <x:c r="B12" s="31"/>
      <x:c r="C12" s="31"/>
      <x:c r="D12" s="31"/>
      <x:c r="E12" s="31"/>
      <x:c r="F12" s="31"/>
      <x:c r="G12" s="32" t="n">
        <x:v>0.25</x:v>
      </x:c>
      <x:c r="H12" s="32" t="n">
        <x:v>0.25</x:v>
      </x:c>
      <x:c r="I12" s="32" t="n">
        <x:v>0.25</x:v>
      </x:c>
      <x:c r="J12" s="32" t="n">
        <x:v>0.25</x:v>
      </x:c>
      <x:c r="K12" s="32" t="n">
        <x:v>0.25</x:v>
      </x:c>
    </x:row>
    <x:row r="13">
      <x:c r="A13" s="8" t="str">
        <x:v>Share repurchases as % of net income</x:v>
      </x:c>
      <x:c r="B13" s="31"/>
      <x:c r="C13" s="31"/>
      <x:c r="D13" s="31"/>
      <x:c r="E13" s="31"/>
      <x:c r="F13" s="31"/>
      <x:c r="G13" s="32" t="n">
        <x:v>0.4</x:v>
      </x:c>
      <x:c r="H13" s="32" t="n">
        <x:v>0.4</x:v>
      </x:c>
      <x:c r="I13" s="32" t="n">
        <x:v>0.4</x:v>
      </x:c>
      <x:c r="J13" s="32" t="n">
        <x:v>0.4</x:v>
      </x:c>
      <x:c r="K13" s="32" t="n">
        <x:v>0.4</x:v>
      </x:c>
    </x:row>
    <x:row r="14">
      <x:c r="A14" s="8" t="str">
        <x:v>Net interest and other expense as % of average debt</x:v>
      </x:c>
      <x:c r="B14" s="31" t="n">
        <x:f>('Income Statement'!B7-'Income Statement'!B10)/'Balance Sheet'!B11</x:f>
        <x:v>0.035165216883423236</x:v>
      </x:c>
      <x:c r="C14" s="31" t="n">
        <x:f>('Income Statement'!C7-'Income Statement'!C10)/(('Balance Sheet'!B11+'Balance Sheet'!C11)/2)</x:f>
        <x:v>0.0391577417891062</x:v>
      </x:c>
      <x:c r="D14" s="31" t="n">
        <x:f>('Income Statement'!D7-'Income Statement'!D10)/(('Balance Sheet'!C11+'Balance Sheet'!D11)/2)</x:f>
        <x:v>0.04109442294504986</x:v>
      </x:c>
      <x:c r="E14" s="31" t="n">
        <x:f>('Income Statement'!E7-'Income Statement'!E10)/(('Balance Sheet'!D11+'Balance Sheet'!E11)/2)</x:f>
        <x:v>0.04696424419651778</x:v>
      </x:c>
      <x:c r="F14" s="31" t="n">
        <x:f>('Income Statement'!F7-'Income Statement'!F10)/(('Balance Sheet'!E11+'Balance Sheet'!F11)/2)</x:f>
        <x:v>0.04819631455130397</x:v>
      </x:c>
      <x:c r="G14" s="32" t="n">
        <x:v>0.04819631455130397</x:v>
      </x:c>
      <x:c r="H14" s="32" t="n">
        <x:v>0.04819631455130397</x:v>
      </x:c>
      <x:c r="I14" s="32" t="n">
        <x:v>0.04819631455130397</x:v>
      </x:c>
      <x:c r="J14" s="32" t="n">
        <x:v>0.04819631455130397</x:v>
      </x:c>
      <x:c r="K14" s="32" t="n">
        <x:v>0.04819631455130397</x:v>
      </x:c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15" t="str">
        <x:v>Valuation input</x:v>
      </x:c>
      <x:c r="B17" s="15" t="str">
        <x:v>Value</x:v>
      </x:c>
      <x:c r="C17" s="8"/>
      <x:c r="D17" s="8"/>
      <x:c r="E17" s="8"/>
      <x:c r="F17" s="8"/>
      <x:c r="G17" s="8"/>
      <x:c r="H17" s="8"/>
      <x:c r="I17" s="8"/>
      <x:c r="J17" s="8"/>
      <x:c r="K17" s="8"/>
    </x:row>
    <x:row r="18">
      <x:c r="A18" s="8" t="str">
        <x:v>WACC</x:v>
      </x:c>
      <x:c r="B18" s="32" t="n">
        <x:v>0.08</x:v>
      </x:c>
      <x:c r="C18" s="8"/>
      <x:c r="D18" s="8"/>
      <x:c r="E18" s="8"/>
      <x:c r="F18" s="8"/>
      <x:c r="G18" s="8"/>
      <x:c r="H18" s="8"/>
      <x:c r="I18" s="8"/>
      <x:c r="J18" s="8"/>
      <x:c r="K18" s="8"/>
    </x:row>
    <x:row r="19">
      <x:c r="A19" s="8" t="str">
        <x:v>Terminal growth</x:v>
      </x:c>
      <x:c r="B19" s="32" t="n">
        <x:v>0.025</x:v>
      </x:c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A20" s="8" t="str">
        <x:v>Diluted shares implied by market cap / price (mm)</x:v>
      </x:c>
      <x:c r="B20" s="34" t="n">
        <x:v>94.944</x:v>
      </x:c>
      <x:c r="C20" s="8"/>
      <x:c r="D20" s="8"/>
      <x:c r="E20" s="8"/>
      <x:c r="F20" s="8"/>
      <x:c r="G20" s="8"/>
      <x:c r="H20" s="8"/>
      <x:c r="I20" s="8"/>
      <x:c r="J20" s="8"/>
      <x:c r="K20" s="8"/>
    </x:row>
    <x:row r="21">
      <x:c r="A21" s="8" t="str">
        <x:v>JBHT share price (USD)</x:v>
      </x:c>
      <x:c r="B21" s="35" t="n">
        <x:v>226.07</x:v>
      </x:c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A22" s="8" t="str">
        <x:v>Market data as of</x:v>
      </x:c>
      <x:c r="B22" s="36" t="n">
        <x:v>46294.52199074074</x:v>
      </x:c>
      <x:c r="C22" s="8"/>
      <x:c r="D22" s="8"/>
      <x:c r="E22" s="8"/>
      <x:c r="F22" s="8"/>
      <x:c r="G22" s="8"/>
      <x:c r="H22" s="8"/>
      <x:c r="I22" s="8"/>
      <x:c r="J22" s="8"/>
      <x:c r="K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>
      <x:c r="A24" s="38" t="str">
        <x:v>Model conventions</x:v>
      </x:c>
      <x:c r="B24" s="3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30" customHeight="1">
      <x:c r="A25" s="39" t="str">
        <x:v>Net working capital</x:v>
      </x:c>
      <x:c r="B25" s="40" t="str">
        <x:v>Accounts receivable less accounts payable. Forecast cash flow reflects changes in these balances.</x:v>
      </x:c>
      <x:c r="C25" s="41"/>
      <x:c r="D25" s="41"/>
      <x:c r="E25" s="41"/>
      <x:c r="F25" s="41"/>
      <x:c r="G25" s="41"/>
      <x:c r="H25" s="41"/>
      <x:c r="I25" s="41"/>
      <x:c r="J25" s="41"/>
      <x:c r="K25" s="41"/>
    </x:row>
    <x:row r="26" ht="30" customHeight="1">
      <x:c r="A26" s="39" t="str">
        <x:v>Other assets and liabilities</x:v>
      </x:c>
      <x:c r="B26" s="40" t="str">
        <x:v>Held flat at FY2025 balances in the forecast.</x:v>
      </x:c>
      <x:c r="C26" s="41"/>
      <x:c r="D26" s="41"/>
      <x:c r="E26" s="41"/>
      <x:c r="F26" s="41"/>
      <x:c r="G26" s="41"/>
      <x:c r="H26" s="41"/>
      <x:c r="I26" s="41"/>
      <x:c r="J26" s="41"/>
      <x:c r="K26" s="41"/>
    </x:row>
    <x:row r="27" ht="30" customHeight="1">
      <x:c r="A27" s="39" t="str">
        <x:v>Debt</x:v>
      </x:c>
      <x:c r="B27" s="40" t="str">
        <x:v>Held flat at FY2025 debt; no new borrowing or principal repayment assumed.</x:v>
      </x:c>
      <x:c r="C27" s="41"/>
      <x:c r="D27" s="41"/>
      <x:c r="E27" s="41"/>
      <x:c r="F27" s="41"/>
      <x:c r="G27" s="41"/>
      <x:c r="H27" s="41"/>
      <x:c r="I27" s="41"/>
      <x:c r="J27" s="41"/>
      <x:c r="K27" s="41"/>
    </x:row>
    <x:row r="28" ht="30" customHeight="1">
      <x:c r="A28" s="39" t="str">
        <x:v>Cash flow</x:v>
      </x:c>
      <x:c r="B28" s="40" t="str">
        <x:v>Forecast operating cash flow equals net income + D&amp;A − change in AR less AP.</x:v>
      </x:c>
      <x:c r="C28" s="41"/>
      <x:c r="D28" s="41"/>
      <x:c r="E28" s="41"/>
      <x:c r="F28" s="41"/>
      <x:c r="G28" s="41"/>
      <x:c r="H28" s="41"/>
      <x:c r="I28" s="41"/>
      <x:c r="J28" s="41"/>
      <x:c r="K28" s="41"/>
    </x:row>
    <x:row r="29" ht="30" customHeight="1">
      <x:c r="A29" s="39" t="str">
        <x:v>Shares</x:v>
      </x:c>
      <x:c r="B29" s="40" t="str">
        <x:v>Share count is implied from market capitalization divided by share price and held flat.</x:v>
      </x:c>
      <x:c r="C29" s="41"/>
      <x:c r="D29" s="41"/>
      <x:c r="E29" s="41"/>
      <x:c r="F29" s="41"/>
      <x:c r="G29" s="41"/>
      <x:c r="H29" s="41"/>
      <x:c r="I29" s="41"/>
      <x:c r="J29" s="41"/>
      <x:c r="K29" s="41"/>
    </x:row>
  </x:sheetData>
  <x:mergeCells>
    <x:mergeCell ref="B25:K25"/>
    <x:mergeCell ref="B26:K26"/>
    <x:mergeCell ref="B27:K27"/>
    <x:mergeCell ref="B28:K28"/>
    <x:mergeCell ref="B29:K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11" t="str">
        <x:v>Three-statement model | Income statement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5" t="str">
        <x:v>USD millions</x:v>
      </x:c>
      <x:c r="B4" s="15" t="str">
        <x:v>2021A</x:v>
      </x:c>
      <x:c r="C4" s="15" t="str">
        <x:v>2022A</x:v>
      </x:c>
      <x:c r="D4" s="15" t="str">
        <x:v>2023A</x:v>
      </x:c>
      <x:c r="E4" s="15" t="str">
        <x:v>2024A</x:v>
      </x:c>
      <x:c r="F4" s="15" t="str">
        <x:v>2025A</x:v>
      </x:c>
      <x:c r="G4" s="15" t="str">
        <x:v>2026E</x:v>
      </x:c>
      <x:c r="H4" s="15" t="str">
        <x:v>2027E</x:v>
      </x:c>
      <x:c r="I4" s="15" t="str">
        <x:v>2028E</x:v>
      </x:c>
      <x:c r="J4" s="15" t="str">
        <x:v>2029E</x:v>
      </x:c>
      <x:c r="K4" s="15" t="str">
        <x:v>2030E</x:v>
      </x:c>
    </x:row>
    <x:row r="5">
      <x:c r="A5" s="8" t="str">
        <x:v>Revenue</x:v>
      </x:c>
      <x:c r="B5" s="9" t="n">
        <x:f>'SEC Actuals'!B5</x:f>
        <x:v>12168.302</x:v>
      </x:c>
      <x:c r="C5" s="9" t="n">
        <x:f>'SEC Actuals'!C5</x:f>
        <x:v>14813.999</x:v>
      </x:c>
      <x:c r="D5" s="9" t="n">
        <x:f>'SEC Actuals'!D5</x:f>
        <x:v>12829.665</x:v>
      </x:c>
      <x:c r="E5" s="9" t="n">
        <x:f>'SEC Actuals'!E5</x:f>
        <x:v>12087.204</x:v>
      </x:c>
      <x:c r="F5" s="9" t="n">
        <x:f>'SEC Actuals'!F5</x:f>
        <x:v>11999.096</x:v>
      </x:c>
      <x:c r="G5" s="42" t="n">
        <x:f>F5*(1+Assumptions!G5)</x:f>
        <x:v>12479.05984</x:v>
      </x:c>
      <x:c r="H5" s="42" t="n">
        <x:f>G5*(1+Assumptions!H5)</x:f>
        <x:v>13103.012832</x:v>
      </x:c>
      <x:c r="I5" s="42" t="n">
        <x:f>H5*(1+Assumptions!I5)</x:f>
        <x:v>13758.163473600001</x:v>
      </x:c>
      <x:c r="J5" s="42" t="n">
        <x:f>I5*(1+Assumptions!J5)</x:f>
        <x:v>14377.280829912</x:v>
      </x:c>
      <x:c r="K5" s="42" t="n">
        <x:f>J5*(1+Assumptions!K5)</x:f>
        <x:v>14952.372063108482</x:v>
      </x:c>
    </x:row>
    <x:row r="6">
      <x:c r="A6" s="8" t="str">
        <x:v>Revenue growth</x:v>
      </x:c>
      <x:c r="B6" s="31"/>
      <x:c r="C6" s="31" t="n">
        <x:f>C5/B5-1</x:f>
        <x:v>0.2174253235989705</x:v>
      </x:c>
      <x:c r="D6" s="31" t="n">
        <x:f>D5/C5-1</x:f>
        <x:v>-0.13394992128729044</x:v>
      </x:c>
      <x:c r="E6" s="31" t="n">
        <x:f>E5/D5-1</x:f>
        <x:v>-0.057870645882024285</x:v>
      </x:c>
      <x:c r="F6" s="31" t="n">
        <x:f>F5/E5-1</x:f>
        <x:v>-0.007289361543000417</x:v>
      </x:c>
      <x:c r="G6" s="31" t="n">
        <x:f>G5/F5-1</x:f>
        <x:v>0.040000000000000036</x:v>
      </x:c>
      <x:c r="H6" s="31" t="n">
        <x:f>H5/G5-1</x:f>
        <x:v>0.050000000000000044</x:v>
      </x:c>
      <x:c r="I6" s="31" t="n">
        <x:f>I5/H5-1</x:f>
        <x:v>0.050000000000000044</x:v>
      </x:c>
      <x:c r="J6" s="31" t="n">
        <x:f>J5/I5-1</x:f>
        <x:v>0.04499999999999993</x:v>
      </x:c>
      <x:c r="K6" s="31" t="n">
        <x:f>K5/J5-1</x:f>
        <x:v>0.040000000000000036</x:v>
      </x:c>
    </x:row>
    <x:row r="7">
      <x:c r="A7" s="8" t="str">
        <x:v>Operating income (EBIT)</x:v>
      </x:c>
      <x:c r="B7" s="9" t="n">
        <x:f>'SEC Actuals'!B6</x:f>
        <x:v>1045.53</x:v>
      </x:c>
      <x:c r="C7" s="9" t="n">
        <x:f>'SEC Actuals'!C6</x:f>
        <x:v>1331.553</x:v>
      </x:c>
      <x:c r="D7" s="9" t="n">
        <x:f>'SEC Actuals'!D6</x:f>
        <x:v>993.196</x:v>
      </x:c>
      <x:c r="E7" s="9" t="n">
        <x:f>'SEC Actuals'!E6</x:f>
        <x:v>831.225</x:v>
      </x:c>
      <x:c r="F7" s="9" t="n">
        <x:f>'SEC Actuals'!F6</x:f>
        <x:v>865.069</x:v>
      </x:c>
      <x:c r="G7" s="42" t="n">
        <x:f>G5*Assumptions!G6</x:f>
        <x:v>935.929488</x:v>
      </x:c>
      <x:c r="H7" s="42" t="n">
        <x:f>H5*Assumptions!H6</x:f>
        <x:v>1022.035000896</x:v>
      </x:c>
      <x:c r="I7" s="42" t="n">
        <x:f>I5*Assumptions!I6</x:f>
        <x:v>1114.4112413616</x:v>
      </x:c>
      <x:c r="J7" s="42" t="n">
        <x:f>J5*Assumptions!J6</x:f>
        <x:v>1236.446151372432</x:v>
      </x:c>
      <x:c r="K7" s="42" t="n">
        <x:f>K5*Assumptions!K6</x:f>
        <x:v>1345.7134856797634</x:v>
      </x:c>
    </x:row>
    <x:row r="8">
      <x:c r="A8" s="8" t="str">
        <x:v>EBIT margin</x:v>
      </x:c>
      <x:c r="B8" s="31" t="n">
        <x:f>B7/B5</x:f>
        <x:v>0.08592242368738054</x:v>
      </x:c>
      <x:c r="C8" s="31" t="n">
        <x:f>C7/C5</x:f>
        <x:v>0.08988477722997013</x:v>
      </x:c>
      <x:c r="D8" s="31" t="n">
        <x:f>D7/D5</x:f>
        <x:v>0.07741402445036562</x:v>
      </x:c>
      <x:c r="E8" s="31" t="n">
        <x:f>E7/E5</x:f>
        <x:v>0.06876900563604288</x:v>
      </x:c>
      <x:c r="F8" s="31" t="n">
        <x:f>F7/F5</x:f>
        <x:v>0.07209451445342216</x:v>
      </x:c>
      <x:c r="G8" s="31" t="n">
        <x:f>G7/G5</x:f>
        <x:v>0.075</x:v>
      </x:c>
      <x:c r="H8" s="31" t="n">
        <x:f>H7/H5</x:f>
        <x:v>0.078</x:v>
      </x:c>
      <x:c r="I8" s="31" t="n">
        <x:f>I7/I5</x:f>
        <x:v>0.081</x:v>
      </x:c>
      <x:c r="J8" s="31" t="n">
        <x:f>J7/J5</x:f>
        <x:v>0.086</x:v>
      </x:c>
      <x:c r="K8" s="31" t="n">
        <x:f>K7/K5</x:f>
        <x:v>0.09</x:v>
      </x:c>
    </x:row>
    <x:row r="9">
      <x:c r="A9" s="8" t="str">
        <x:v>Net interest and other income (expense)</x:v>
      </x:c>
      <x:c r="B9" s="9" t="n">
        <x:f>'SEC Actuals'!B7-'SEC Actuals'!B6</x:f>
        <x:v>-45.757999999999925</x:v>
      </x:c>
      <x:c r="C9" s="9" t="n">
        <x:f>'SEC Actuals'!C7-'SEC Actuals'!C6</x:f>
        <x:v>-50.180000000000064</x:v>
      </x:c>
      <x:c r="D9" s="9" t="n">
        <x:f>'SEC Actuals'!D7-'SEC Actuals'!D6</x:f>
        <x:v>-58.30900000000008</x:v>
      </x:c>
      <x:c r="E9" s="9" t="n">
        <x:f>'SEC Actuals'!E7-'SEC Actuals'!E6</x:f>
        <x:v>-71.70900000000006</x:v>
      </x:c>
      <x:c r="F9" s="9" t="n">
        <x:f>'SEC Actuals'!F7-'SEC Actuals'!F6</x:f>
        <x:v>-70.957</x:v>
      </x:c>
      <x:c r="G9" s="42" t="n">
        <x:f>-('Balance Sheet'!F11+'Balance Sheet'!G11)/2*Assumptions!G14</x:f>
        <x:v>-70.69420959490901</x:v>
      </x:c>
      <x:c r="H9" s="42" t="n">
        <x:f>-('Balance Sheet'!G11+'Balance Sheet'!H11)/2*Assumptions!H14</x:f>
        <x:v>-70.69420959490901</x:v>
      </x:c>
      <x:c r="I9" s="42" t="n">
        <x:f>-('Balance Sheet'!H11+'Balance Sheet'!I11)/2*Assumptions!I14</x:f>
        <x:v>-70.69420959490901</x:v>
      </x:c>
      <x:c r="J9" s="42" t="n">
        <x:f>-('Balance Sheet'!I11+'Balance Sheet'!J11)/2*Assumptions!J14</x:f>
        <x:v>-70.69420959490901</x:v>
      </x:c>
      <x:c r="K9" s="42" t="n">
        <x:f>-('Balance Sheet'!J11+'Balance Sheet'!K11)/2*Assumptions!K14</x:f>
        <x:v>-70.69420959490901</x:v>
      </x:c>
    </x:row>
    <x:row r="10">
      <x:c r="A10" s="8" t="str">
        <x:v>Earnings before income taxes</x:v>
      </x:c>
      <x:c r="B10" s="9" t="n">
        <x:f>'SEC Actuals'!B7</x:f>
        <x:v>999.772</x:v>
      </x:c>
      <x:c r="C10" s="9" t="n">
        <x:f>'SEC Actuals'!C7</x:f>
        <x:v>1281.373</x:v>
      </x:c>
      <x:c r="D10" s="9" t="n">
        <x:f>'SEC Actuals'!D7</x:f>
        <x:v>934.887</x:v>
      </x:c>
      <x:c r="E10" s="9" t="n">
        <x:f>'SEC Actuals'!E7</x:f>
        <x:v>759.516</x:v>
      </x:c>
      <x:c r="F10" s="9" t="n">
        <x:f>'SEC Actuals'!F7</x:f>
        <x:v>794.112</x:v>
      </x:c>
      <x:c r="G10" s="9" t="n">
        <x:f>G7+G9</x:f>
        <x:v>865.235278405091</x:v>
      </x:c>
      <x:c r="H10" s="9" t="n">
        <x:f>H7+H9</x:f>
        <x:v>951.340791301091</x:v>
      </x:c>
      <x:c r="I10" s="9" t="n">
        <x:f>I7+I9</x:f>
        <x:v>1043.717031766691</x:v>
      </x:c>
      <x:c r="J10" s="9" t="n">
        <x:f>J7+J9</x:f>
        <x:v>1165.751941777523</x:v>
      </x:c>
      <x:c r="K10" s="9" t="n">
        <x:f>K7+K9</x:f>
        <x:v>1275.0192760848545</x:v>
      </x:c>
    </x:row>
    <x:row r="11">
      <x:c r="A11" s="8" t="str">
        <x:v>Income tax expense</x:v>
      </x:c>
      <x:c r="B11" s="9" t="n">
        <x:f>'SEC Actuals'!B8</x:f>
        <x:v>238.966</x:v>
      </x:c>
      <x:c r="C11" s="9" t="n">
        <x:f>'SEC Actuals'!C8</x:f>
        <x:v>312.022</x:v>
      </x:c>
      <x:c r="D11" s="9" t="n">
        <x:f>'SEC Actuals'!D8</x:f>
        <x:v>206.6</x:v>
      </x:c>
      <x:c r="E11" s="9" t="n">
        <x:f>'SEC Actuals'!E8</x:f>
        <x:v>188.63</x:v>
      </x:c>
      <x:c r="F11" s="9" t="n">
        <x:f>'SEC Actuals'!F8</x:f>
        <x:v>195.83</x:v>
      </x:c>
      <x:c r="G11" s="42" t="n">
        <x:f>G10*Assumptions!G7</x:f>
        <x:v>213.71311376605746</x:v>
      </x:c>
      <x:c r="H11" s="42" t="n">
        <x:f>H10*Assumptions!H7</x:f>
        <x:v>234.9811754513695</x:v>
      </x:c>
      <x:c r="I11" s="42" t="n">
        <x:f>I10*Assumptions!I7</x:f>
        <x:v>257.79810684637266</x:v>
      </x:c>
      <x:c r="J11" s="42" t="n">
        <x:f>J10*Assumptions!J7</x:f>
        <x:v>287.94072961904817</x:v>
      </x:c>
      <x:c r="K11" s="42" t="n">
        <x:f>K10*Assumptions!K7</x:f>
        <x:v>314.92976119295906</x:v>
      </x:c>
    </x:row>
    <x:row r="12">
      <x:c r="A12" s="8" t="str">
        <x:v>Effective tax rate</x:v>
      </x:c>
      <x:c r="B12" s="31" t="n">
        <x:f>B11/B10</x:f>
        <x:v>0.2390204966732415</x:v>
      </x:c>
      <x:c r="C12" s="31" t="n">
        <x:f>C11/C10</x:f>
        <x:v>0.24350598927868777</x:v>
      </x:c>
      <x:c r="D12" s="31" t="n">
        <x:f>D11/D10</x:f>
        <x:v>0.22098927463960885</x:v>
      </x:c>
      <x:c r="E12" s="31" t="n">
        <x:f>E11/E10</x:f>
        <x:v>0.24835553168070193</x:v>
      </x:c>
      <x:c r="F12" s="31" t="n">
        <x:f>F11/F10</x:f>
        <x:v>0.24660249435847842</x:v>
      </x:c>
      <x:c r="G12" s="31" t="n">
        <x:f>G11/G10</x:f>
        <x:v>0.247</x:v>
      </x:c>
      <x:c r="H12" s="31" t="n">
        <x:f>H11/H10</x:f>
        <x:v>0.247</x:v>
      </x:c>
      <x:c r="I12" s="31" t="n">
        <x:f>I11/I10</x:f>
        <x:v>0.247</x:v>
      </x:c>
      <x:c r="J12" s="31" t="n">
        <x:f>J11/J10</x:f>
        <x:v>0.247</x:v>
      </x:c>
      <x:c r="K12" s="31" t="n">
        <x:f>K11/K10</x:f>
        <x:v>0.247</x:v>
      </x:c>
    </x:row>
    <x:row r="13">
      <x:c r="A13" s="8" t="str">
        <x:v>Net income</x:v>
      </x:c>
      <x:c r="B13" s="9" t="n">
        <x:f>'SEC Actuals'!B9</x:f>
        <x:v>760.806</x:v>
      </x:c>
      <x:c r="C13" s="9" t="n">
        <x:f>'SEC Actuals'!C9</x:f>
        <x:v>969.351</x:v>
      </x:c>
      <x:c r="D13" s="9" t="n">
        <x:f>'SEC Actuals'!D9</x:f>
        <x:v>728.287</x:v>
      </x:c>
      <x:c r="E13" s="9" t="n">
        <x:f>'SEC Actuals'!E9</x:f>
        <x:v>570.886</x:v>
      </x:c>
      <x:c r="F13" s="9" t="n">
        <x:f>'SEC Actuals'!F9</x:f>
        <x:v>598.282</x:v>
      </x:c>
      <x:c r="G13" s="9" t="n">
        <x:f>G10-G11</x:f>
        <x:v>651.5221646390335</x:v>
      </x:c>
      <x:c r="H13" s="9" t="n">
        <x:f>H10-H11</x:f>
        <x:v>716.3596158497215</x:v>
      </x:c>
      <x:c r="I13" s="9" t="n">
        <x:f>I10-I11</x:f>
        <x:v>785.9189249203183</x:v>
      </x:c>
      <x:c r="J13" s="9" t="n">
        <x:f>J10-J11</x:f>
        <x:v>877.8112121584747</x:v>
      </x:c>
      <x:c r="K13" s="9" t="n">
        <x:f>K10-K11</x:f>
        <x:v>960.0895148918954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11" t="str">
        <x:v>Three-statement model | Balance sheet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5" t="str">
        <x:v>USD millions</x:v>
      </x:c>
      <x:c r="B4" s="15" t="str">
        <x:v>2021A</x:v>
      </x:c>
      <x:c r="C4" s="15" t="str">
        <x:v>2022A</x:v>
      </x:c>
      <x:c r="D4" s="15" t="str">
        <x:v>2023A</x:v>
      </x:c>
      <x:c r="E4" s="15" t="str">
        <x:v>2024A</x:v>
      </x:c>
      <x:c r="F4" s="15" t="str">
        <x:v>2025A</x:v>
      </x:c>
      <x:c r="G4" s="15" t="str">
        <x:v>2026E</x:v>
      </x:c>
      <x:c r="H4" s="15" t="str">
        <x:v>2027E</x:v>
      </x:c>
      <x:c r="I4" s="15" t="str">
        <x:v>2028E</x:v>
      </x:c>
      <x:c r="J4" s="15" t="str">
        <x:v>2029E</x:v>
      </x:c>
      <x:c r="K4" s="15" t="str">
        <x:v>2030E</x:v>
      </x:c>
    </x:row>
    <x:row r="5">
      <x:c r="A5" s="8" t="str">
        <x:v>Cash and cash equivalents</x:v>
      </x:c>
      <x:c r="B5" s="9" t="n">
        <x:f>'SEC Actuals'!B13</x:f>
        <x:v>355.549</x:v>
      </x:c>
      <x:c r="C5" s="9" t="n">
        <x:f>'SEC Actuals'!C13</x:f>
        <x:v>51.927</x:v>
      </x:c>
      <x:c r="D5" s="9" t="n">
        <x:f>'SEC Actuals'!D13</x:f>
        <x:v>53.344</x:v>
      </x:c>
      <x:c r="E5" s="9" t="n">
        <x:f>'SEC Actuals'!E13</x:f>
        <x:v>46.983</x:v>
      </x:c>
      <x:c r="F5" s="9" t="n">
        <x:f>'SEC Actuals'!F13</x:f>
        <x:v>17.284</x:v>
      </x:c>
      <x:c r="G5" s="42" t="n">
        <x:f>'Cash Flow'!G16</x:f>
        <x:v>175.20983826366194</x:v>
      </x:c>
      <x:c r="H5" s="42" t="n">
        <x:f>'Cash Flow'!H16</x:f>
        <x:v>360.3787813150645</x:v>
      </x:c>
      <x:c r="I5" s="42" t="n">
        <x:f>'Cash Flow'!I16</x:f>
        <x:v>580.373799889976</x:v>
      </x:c>
      <x:c r="J5" s="42" t="n">
        <x:f>'Cash Flow'!J16</x:f>
        <x:v>847.1859804165301</x:v>
      </x:c>
      <x:c r="K5" s="42" t="n">
        <x:f>'Cash Flow'!K16</x:f>
        <x:v>1159.0248984247337</x:v>
      </x:c>
    </x:row>
    <x:row r="6">
      <x:c r="A6" s="8" t="str">
        <x:v>Accounts receivable</x:v>
      </x:c>
      <x:c r="B6" s="9" t="n">
        <x:f>'SEC Actuals'!B14</x:f>
        <x:v>1506.619</x:v>
      </x:c>
      <x:c r="C6" s="9" t="n">
        <x:f>'SEC Actuals'!C14</x:f>
        <x:v>1528.075</x:v>
      </x:c>
      <x:c r="D6" s="9" t="n">
        <x:f>'SEC Actuals'!D14</x:f>
        <x:v>1334.912</x:v>
      </x:c>
      <x:c r="E6" s="9" t="n">
        <x:f>'SEC Actuals'!E14</x:f>
        <x:v>1224.166</x:v>
      </x:c>
      <x:c r="F6" s="9" t="n">
        <x:f>'SEC Actuals'!F14</x:f>
        <x:v>1160.371</x:v>
      </x:c>
      <x:c r="G6" s="42" t="n">
        <x:f>'Income Statement'!G5*Assumptions!G10</x:f>
        <x:v>1206.78584</x:v>
      </x:c>
      <x:c r="H6" s="42" t="n">
        <x:f>'Income Statement'!H5*Assumptions!H10</x:f>
        <x:v>1267.125132</x:v>
      </x:c>
      <x:c r="I6" s="42" t="n">
        <x:f>'Income Statement'!I5*Assumptions!I10</x:f>
        <x:v>1330.4813886</x:v>
      </x:c>
      <x:c r="J6" s="42" t="n">
        <x:f>'Income Statement'!J5*Assumptions!J10</x:f>
        <x:v>1390.353051087</x:v>
      </x:c>
      <x:c r="K6" s="42" t="n">
        <x:f>'Income Statement'!K5*Assumptions!K10</x:f>
        <x:v>1445.96717313048</x:v>
      </x:c>
    </x:row>
    <x:row r="7">
      <x:c r="A7" s="8" t="str">
        <x:v>Net PP&amp;E</x:v>
      </x:c>
      <x:c r="B7" s="9" t="n">
        <x:f>'SEC Actuals'!B19</x:f>
        <x:v>4067.655</x:v>
      </x:c>
      <x:c r="C7" s="9" t="n">
        <x:f>'SEC Actuals'!C19</x:f>
        <x:v>4979.817</x:v>
      </x:c>
      <x:c r="D7" s="9" t="n">
        <x:f>'SEC Actuals'!D19</x:f>
        <x:v>5773.913</x:v>
      </x:c>
      <x:c r="E7" s="9" t="n">
        <x:f>'SEC Actuals'!E19</x:f>
        <x:v>5729.799</x:v>
      </x:c>
      <x:c r="F7" s="9" t="n">
        <x:f>'SEC Actuals'!F19</x:f>
        <x:v>5538.101</x:v>
      </x:c>
      <x:c r="G7" s="42" t="n">
        <x:f>F7+'Cash Flow'!G9-'Cash Flow'!G6</x:f>
        <x:v>5588.01723936</x:v>
      </x:c>
      <x:c r="H7" s="42" t="n">
        <x:f>G7+'Cash Flow'!H9-'Cash Flow'!H6</x:f>
        <x:v>5627.326277855999</x:v>
      </x:c>
      <x:c r="I7" s="42" t="n">
        <x:f>H7+'Cash Flow'!I9-'Cash Flow'!I6</x:f>
        <x:v>5654.842604803199</x:v>
      </x:c>
      <x:c r="J7" s="42" t="n">
        <x:f>I7+'Cash Flow'!J9-'Cash Flow'!J6</x:f>
        <x:v>5669.2198856331115</x:v>
      </x:c>
      <x:c r="K7" s="42" t="n">
        <x:f>J7+'Cash Flow'!K9-'Cash Flow'!K6</x:f>
        <x:v>5669.2198856331115</x:v>
      </x:c>
    </x:row>
    <x:row r="8">
      <x:c r="A8" s="8" t="str">
        <x:v>Other assets</x:v>
      </x:c>
      <x:c r="B8" s="9" t="n">
        <x:f>'SEC Actuals'!B10-B5-B6-B7</x:f>
        <x:v>864.5250000000001</x:v>
      </x:c>
      <x:c r="C8" s="9" t="n">
        <x:f>'SEC Actuals'!C10-C5-C6-C7</x:f>
        <x:v>1226.7630000000008</x:v>
      </x:c>
      <x:c r="D8" s="9" t="n">
        <x:f>'SEC Actuals'!D10-D5-D6-D7</x:f>
        <x:v>1376.0910000000013</x:v>
      </x:c>
      <x:c r="E8" s="9" t="n">
        <x:f>'SEC Actuals'!E10-E5-E6-E7</x:f>
        <x:v>1311.3220000000001</x:v>
      </x:c>
      <x:c r="F8" s="9" t="n">
        <x:f>'SEC Actuals'!F10-F5-F6-F7</x:f>
        <x:v>1211.3990000000003</x:v>
      </x:c>
      <x:c r="G8" s="9" t="n">
        <x:f>F8</x:f>
        <x:v>1211.3990000000003</x:v>
      </x:c>
      <x:c r="H8" s="9" t="n">
        <x:f>G8</x:f>
        <x:v>1211.3990000000003</x:v>
      </x:c>
      <x:c r="I8" s="9" t="n">
        <x:f>H8</x:f>
        <x:v>1211.3990000000003</x:v>
      </x:c>
      <x:c r="J8" s="9" t="n">
        <x:f>I8</x:f>
        <x:v>1211.3990000000003</x:v>
      </x:c>
      <x:c r="K8" s="9" t="n">
        <x:f>J8</x:f>
        <x:v>1211.3990000000003</x:v>
      </x:c>
    </x:row>
    <x:row r="9">
      <x:c r="A9" s="8" t="str">
        <x:v>Total assets</x:v>
      </x:c>
      <x:c r="B9" s="9" t="n">
        <x:f>'SEC Actuals'!B10</x:f>
        <x:v>6794.348</x:v>
      </x:c>
      <x:c r="C9" s="9" t="n">
        <x:f>'SEC Actuals'!C10</x:f>
        <x:v>7786.582</x:v>
      </x:c>
      <x:c r="D9" s="9" t="n">
        <x:f>'SEC Actuals'!D10</x:f>
        <x:v>8538.26</x:v>
      </x:c>
      <x:c r="E9" s="9" t="n">
        <x:f>'SEC Actuals'!E10</x:f>
        <x:v>8312.27</x:v>
      </x:c>
      <x:c r="F9" s="9" t="n">
        <x:f>'SEC Actuals'!F10</x:f>
        <x:v>7927.155</x:v>
      </x:c>
      <x:c r="G9" s="9" t="n">
        <x:f>SUM(G5:G8)</x:f>
        <x:v>8181.411917623662</x:v>
      </x:c>
      <x:c r="H9" s="9" t="n">
        <x:f>SUM(H5:H8)</x:f>
        <x:v>8466.229191171064</x:v>
      </x:c>
      <x:c r="I9" s="9" t="n">
        <x:f>SUM(I5:I8)</x:f>
        <x:v>8777.096793293174</x:v>
      </x:c>
      <x:c r="J9" s="9" t="n">
        <x:f>SUM(J5:J8)</x:f>
        <x:v>9118.157917136643</x:v>
      </x:c>
      <x:c r="K9" s="9" t="n">
        <x:f>SUM(K5:K8)</x:f>
        <x:v>9485.610957188324</x:v>
      </x:c>
    </x:row>
    <x:row r="10">
      <x:c r="A10" s="8" t="str">
        <x:v>Accounts payable</x:v>
      </x:c>
      <x:c r="B10" s="9" t="n">
        <x:f>'SEC Actuals'!B15</x:f>
        <x:v>772.736</x:v>
      </x:c>
      <x:c r="C10" s="9" t="n">
        <x:f>'SEC Actuals'!C15</x:f>
        <x:v>798.776</x:v>
      </x:c>
      <x:c r="D10" s="9" t="n">
        <x:f>'SEC Actuals'!D15</x:f>
        <x:v>737.364</x:v>
      </x:c>
      <x:c r="E10" s="9" t="n">
        <x:f>'SEC Actuals'!E15</x:f>
        <x:v>645.925</x:v>
      </x:c>
      <x:c r="F10" s="9" t="n">
        <x:f>'SEC Actuals'!F15</x:f>
        <x:v>655.604</x:v>
      </x:c>
      <x:c r="G10" s="42" t="n">
        <x:f>'Income Statement'!G5*Assumptions!G11</x:f>
        <x:v>681.82816</x:v>
      </x:c>
      <x:c r="H10" s="42" t="n">
        <x:f>'Income Statement'!H5*Assumptions!H11</x:f>
        <x:v>715.919568</x:v>
      </x:c>
      <x:c r="I10" s="42" t="n">
        <x:f>'Income Statement'!I5*Assumptions!I11</x:f>
        <x:v>751.7155464000001</x:v>
      </x:c>
      <x:c r="J10" s="42" t="n">
        <x:f>'Income Statement'!J5*Assumptions!J11</x:f>
        <x:v>785.5427459880001</x:v>
      </x:c>
      <x:c r="K10" s="42" t="n">
        <x:f>'Income Statement'!K5*Assumptions!K11</x:f>
        <x:v>816.96445582752</x:v>
      </x:c>
    </x:row>
    <x:row r="11">
      <x:c r="A11" s="8" t="str">
        <x:v>Debt</x:v>
      </x:c>
      <x:c r="B11" s="9" t="n">
        <x:f>'SEC Actuals'!B18</x:f>
        <x:v>1301.2289999999998</x:v>
      </x:c>
      <x:c r="C11" s="9" t="n">
        <x:f>'SEC Actuals'!C18</x:f>
        <x:v>1261.738</x:v>
      </x:c>
      <x:c r="D11" s="9" t="n">
        <x:f>'SEC Actuals'!D18</x:f>
        <x:v>1576.068</x:v>
      </x:c>
      <x:c r="E11" s="9" t="n">
        <x:f>'SEC Actuals'!E18</x:f>
        <x:v>1477.702</x:v>
      </x:c>
      <x:c r="F11" s="9" t="n">
        <x:f>'SEC Actuals'!F18</x:f>
        <x:v>1466.797</x:v>
      </x:c>
      <x:c r="G11" s="9" t="n">
        <x:f>F11</x:f>
        <x:v>1466.797</x:v>
      </x:c>
      <x:c r="H11" s="9" t="n">
        <x:f>G11</x:f>
        <x:v>1466.797</x:v>
      </x:c>
      <x:c r="I11" s="9" t="n">
        <x:f>H11</x:f>
        <x:v>1466.797</x:v>
      </x:c>
      <x:c r="J11" s="9" t="n">
        <x:f>I11</x:f>
        <x:v>1466.797</x:v>
      </x:c>
      <x:c r="K11" s="9" t="n">
        <x:f>J11</x:f>
        <x:v>1466.797</x:v>
      </x:c>
    </x:row>
    <x:row r="12">
      <x:c r="A12" s="8" t="str">
        <x:v>Other liabilities</x:v>
      </x:c>
      <x:c r="B12" s="9" t="n">
        <x:f>'SEC Actuals'!B11-B10-B11</x:f>
        <x:v>1602.5670000000005</x:v>
      </x:c>
      <x:c r="C12" s="9" t="n">
        <x:f>'SEC Actuals'!C11-C10-C11</x:f>
        <x:v>2059.3</x:v>
      </x:c>
      <x:c r="D12" s="9" t="n">
        <x:f>'SEC Actuals'!D11-D10-D11</x:f>
        <x:v>2121.0700000000006</x:v>
      </x:c>
      <x:c r="E12" s="9" t="n">
        <x:f>'SEC Actuals'!E11-E10-E11</x:f>
        <x:v>2174.138</x:v>
      </x:c>
      <x:c r="F12" s="9" t="n">
        <x:f>'SEC Actuals'!F11-F10-F11</x:f>
        <x:v>2239.6689999999994</x:v>
      </x:c>
      <x:c r="G12" s="9" t="n">
        <x:f>F12</x:f>
        <x:v>2239.6689999999994</x:v>
      </x:c>
      <x:c r="H12" s="9" t="n">
        <x:f>G12</x:f>
        <x:v>2239.6689999999994</x:v>
      </x:c>
      <x:c r="I12" s="9" t="n">
        <x:f>H12</x:f>
        <x:v>2239.6689999999994</x:v>
      </x:c>
      <x:c r="J12" s="9" t="n">
        <x:f>I12</x:f>
        <x:v>2239.6689999999994</x:v>
      </x:c>
      <x:c r="K12" s="9" t="n">
        <x:f>J12</x:f>
        <x:v>2239.6689999999994</x:v>
      </x:c>
    </x:row>
    <x:row r="13">
      <x:c r="A13" s="8" t="str">
        <x:v>Total liabilities</x:v>
      </x:c>
      <x:c r="B13" s="9" t="n">
        <x:f>'SEC Actuals'!B11</x:f>
        <x:v>3676.532</x:v>
      </x:c>
      <x:c r="C13" s="9" t="n">
        <x:f>'SEC Actuals'!C11</x:f>
        <x:v>4119.814</x:v>
      </x:c>
      <x:c r="D13" s="9" t="n">
        <x:f>'SEC Actuals'!D11</x:f>
        <x:v>4434.502</x:v>
      </x:c>
      <x:c r="E13" s="9" t="n">
        <x:f>'SEC Actuals'!E11</x:f>
        <x:v>4297.765</x:v>
      </x:c>
      <x:c r="F13" s="9" t="n">
        <x:f>'SEC Actuals'!F11</x:f>
        <x:v>4362.07</x:v>
      </x:c>
      <x:c r="G13" s="9" t="n">
        <x:f>SUM(G10:G12)</x:f>
        <x:v>4388.2941599999995</x:v>
      </x:c>
      <x:c r="H13" s="9" t="n">
        <x:f>SUM(H10:H12)</x:f>
        <x:v>4422.385568</x:v>
      </x:c>
      <x:c r="I13" s="9" t="n">
        <x:f>SUM(I10:I12)</x:f>
        <x:v>4458.181546399999</x:v>
      </x:c>
      <x:c r="J13" s="9" t="n">
        <x:f>SUM(J10:J12)</x:f>
        <x:v>4492.008745988</x:v>
      </x:c>
      <x:c r="K13" s="9" t="n">
        <x:f>SUM(K10:K12)</x:f>
        <x:v>4523.43045582752</x:v>
      </x:c>
    </x:row>
    <x:row r="14">
      <x:c r="A14" s="8" t="str">
        <x:v>Stockholders’ equity</x:v>
      </x:c>
      <x:c r="B14" s="9" t="n">
        <x:f>'SEC Actuals'!B12</x:f>
        <x:v>3117.816</x:v>
      </x:c>
      <x:c r="C14" s="9" t="n">
        <x:f>'SEC Actuals'!C12</x:f>
        <x:v>3666.768</x:v>
      </x:c>
      <x:c r="D14" s="9" t="n">
        <x:f>'SEC Actuals'!D12</x:f>
        <x:v>4103.758</x:v>
      </x:c>
      <x:c r="E14" s="9" t="n">
        <x:f>'SEC Actuals'!E12</x:f>
        <x:v>4014.505</x:v>
      </x:c>
      <x:c r="F14" s="9" t="n">
        <x:f>'SEC Actuals'!F12</x:f>
        <x:v>3565.085</x:v>
      </x:c>
      <x:c r="G14" s="42" t="n">
        <x:f>F14+'Income Statement'!G13-'Cash Flow'!G12-'Cash Flow'!G13</x:f>
        <x:v>3793.1177576236623</x:v>
      </x:c>
      <x:c r="H14" s="42" t="n">
        <x:f>G14+'Income Statement'!H13-'Cash Flow'!H12-'Cash Flow'!H13</x:f>
        <x:v>4043.843623171065</x:v>
      </x:c>
      <x:c r="I14" s="42" t="n">
        <x:f>H14+'Income Statement'!I13-'Cash Flow'!I12-'Cash Flow'!I13</x:f>
        <x:v>4318.915246893176</x:v>
      </x:c>
      <x:c r="J14" s="42" t="n">
        <x:f>I14+'Income Statement'!J13-'Cash Flow'!J12-'Cash Flow'!J13</x:f>
        <x:v>4626.149171148642</x:v>
      </x:c>
      <x:c r="K14" s="42" t="n">
        <x:f>J14+'Income Statement'!K13-'Cash Flow'!K12-'Cash Flow'!K13</x:f>
        <x:v>4962.1805013608055</x:v>
      </x:c>
    </x:row>
    <x:row r="15">
      <x:c r="A15" s="8" t="str">
        <x:v>Total liabilities and equity</x:v>
      </x:c>
      <x:c r="B15" s="9" t="n">
        <x:f>B13+B14</x:f>
        <x:v>6794.348</x:v>
      </x:c>
      <x:c r="C15" s="9" t="n">
        <x:f>C13+C14</x:f>
        <x:v>7786.582</x:v>
      </x:c>
      <x:c r="D15" s="9" t="n">
        <x:f>D13+D14</x:f>
        <x:v>8538.26</x:v>
      </x:c>
      <x:c r="E15" s="9" t="n">
        <x:f>E13+E14</x:f>
        <x:v>8312.27</x:v>
      </x:c>
      <x:c r="F15" s="9" t="n">
        <x:f>F13+F14</x:f>
        <x:v>7927.155</x:v>
      </x:c>
      <x:c r="G15" s="9" t="n">
        <x:f>G13+G14</x:f>
        <x:v>8181.411917623662</x:v>
      </x:c>
      <x:c r="H15" s="9" t="n">
        <x:f>H13+H14</x:f>
        <x:v>8466.229191171064</x:v>
      </x:c>
      <x:c r="I15" s="9" t="n">
        <x:f>I13+I14</x:f>
        <x:v>8777.096793293174</x:v>
      </x:c>
      <x:c r="J15" s="9" t="n">
        <x:f>J13+J14</x:f>
        <x:v>9118.157917136643</x:v>
      </x:c>
      <x:c r="K15" s="9" t="n">
        <x:f>K13+K14</x:f>
        <x:v>9485.610957188324</x:v>
      </x:c>
    </x:row>
    <x:row r="16">
      <x:c r="A16" s="37" t="str">
        <x:v>Balance sheet check</x:v>
      </x:c>
      <x:c r="B16" s="43" t="n">
        <x:f>B9-B15</x:f>
        <x:v>0</x:v>
      </x:c>
      <x:c r="C16" s="43" t="n">
        <x:f>C9-C15</x:f>
        <x:v>0</x:v>
      </x:c>
      <x:c r="D16" s="43" t="n">
        <x:f>D9-D15</x:f>
        <x:v>0</x:v>
      </x:c>
      <x:c r="E16" s="43" t="n">
        <x:f>E9-E15</x:f>
        <x:v>0</x:v>
      </x:c>
      <x:c r="F16" s="43" t="n">
        <x:f>F9-F15</x:f>
        <x:v>0</x:v>
      </x:c>
      <x:c r="G16" s="43" t="n">
        <x:f>G9-G15</x:f>
        <x:v>0</x:v>
      </x:c>
      <x:c r="H16" s="43" t="n">
        <x:f>H9-H15</x:f>
        <x:v>0</x:v>
      </x:c>
      <x:c r="I16" s="43" t="n">
        <x:f>I9-I15</x:f>
        <x:v>0</x:v>
      </x:c>
      <x:c r="J16" s="43" t="n">
        <x:f>J9-J15</x:f>
        <x:v>0</x:v>
      </x:c>
      <x:c r="K16" s="43" t="n">
        <x:f>K9-K15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11" t="str">
        <x:v>Three-statement model | Cash flow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5" t="str">
        <x:v>USD millions</x:v>
      </x:c>
      <x:c r="B4" s="15" t="str">
        <x:v>2021A</x:v>
      </x:c>
      <x:c r="C4" s="15" t="str">
        <x:v>2022A</x:v>
      </x:c>
      <x:c r="D4" s="15" t="str">
        <x:v>2023A</x:v>
      </x:c>
      <x:c r="E4" s="15" t="str">
        <x:v>2024A</x:v>
      </x:c>
      <x:c r="F4" s="15" t="str">
        <x:v>2025A</x:v>
      </x:c>
      <x:c r="G4" s="15" t="str">
        <x:v>2026E</x:v>
      </x:c>
      <x:c r="H4" s="15" t="str">
        <x:v>2027E</x:v>
      </x:c>
      <x:c r="I4" s="15" t="str">
        <x:v>2028E</x:v>
      </x:c>
      <x:c r="J4" s="15" t="str">
        <x:v>2029E</x:v>
      </x:c>
      <x:c r="K4" s="15" t="str">
        <x:v>2030E</x:v>
      </x:c>
    </x:row>
    <x:row r="5">
      <x:c r="A5" s="8" t="str">
        <x:v>Net income</x:v>
      </x:c>
      <x:c r="B5" s="9" t="n">
        <x:f>'Income Statement'!B13</x:f>
        <x:v>760.806</x:v>
      </x:c>
      <x:c r="C5" s="9" t="n">
        <x:f>'Income Statement'!C13</x:f>
        <x:v>969.351</x:v>
      </x:c>
      <x:c r="D5" s="9" t="n">
        <x:f>'Income Statement'!D13</x:f>
        <x:v>728.287</x:v>
      </x:c>
      <x:c r="E5" s="9" t="n">
        <x:f>'Income Statement'!E13</x:f>
        <x:v>570.886</x:v>
      </x:c>
      <x:c r="F5" s="9" t="n">
        <x:f>'Income Statement'!F13</x:f>
        <x:v>598.282</x:v>
      </x:c>
      <x:c r="G5" s="42" t="n">
        <x:f>'Income Statement'!G13</x:f>
        <x:v>651.5221646390335</x:v>
      </x:c>
      <x:c r="H5" s="42" t="n">
        <x:f>'Income Statement'!H13</x:f>
        <x:v>716.3596158497215</x:v>
      </x:c>
      <x:c r="I5" s="42" t="n">
        <x:f>'Income Statement'!I13</x:f>
        <x:v>785.9189249203183</x:v>
      </x:c>
      <x:c r="J5" s="42" t="n">
        <x:f>'Income Statement'!J13</x:f>
        <x:v>877.8112121584747</x:v>
      </x:c>
      <x:c r="K5" s="42" t="n">
        <x:f>'Income Statement'!K13</x:f>
        <x:v>960.0895148918954</x:v>
      </x:c>
    </x:row>
    <x:row r="6">
      <x:c r="A6" s="8" t="str">
        <x:v>Depreciation and amortization</x:v>
      </x:c>
      <x:c r="B6" s="9" t="n">
        <x:f>'SEC Actuals'!B20</x:f>
        <x:v>557.093</x:v>
      </x:c>
      <x:c r="C6" s="9" t="n">
        <x:f>'SEC Actuals'!C20</x:f>
        <x:v>644.52</x:v>
      </x:c>
      <x:c r="D6" s="9" t="n">
        <x:f>'SEC Actuals'!D20</x:f>
        <x:v>737.954</x:v>
      </x:c>
      <x:c r="E6" s="9" t="n">
        <x:f>'SEC Actuals'!E20</x:f>
        <x:v>761.141</x:v>
      </x:c>
      <x:c r="F6" s="9" t="n">
        <x:f>'SEC Actuals'!F20</x:f>
        <x:v>714.785</x:v>
      </x:c>
      <x:c r="G6" s="42" t="n">
        <x:f>'Income Statement'!G5*Assumptions!G8</x:f>
        <x:v>723.78547072</x:v>
      </x:c>
      <x:c r="H6" s="42" t="n">
        <x:f>'Income Statement'!H5*Assumptions!H8</x:f>
        <x:v>746.871731424</x:v>
      </x:c>
      <x:c r="I6" s="42" t="n">
        <x:f>'Income Statement'!I5*Assumptions!I8</x:f>
        <x:v>770.4571545216</x:v>
      </x:c>
      <x:c r="J6" s="42" t="n">
        <x:f>'Income Statement'!J5*Assumptions!J8</x:f>
        <x:v>790.7504456451601</x:v>
      </x:c>
      <x:c r="K6" s="42" t="n">
        <x:f>'Income Statement'!K5*Assumptions!K8</x:f>
        <x:v>807.428091407858</x:v>
      </x:c>
    </x:row>
    <x:row r="7">
      <x:c r="A7" s="8" t="str">
        <x:v>Change in net working capital (AR less AP)</x:v>
      </x:c>
      <x:c r="B7" s="9"/>
      <x:c r="C7" s="9" t="n">
        <x:f>('Balance Sheet'!C6-'Balance Sheet'!B6)-('Balance Sheet'!C10-'Balance Sheet'!B10)</x:f>
        <x:v>-4.583999999999833</x:v>
      </x:c>
      <x:c r="D7" s="9" t="n">
        <x:f>('Balance Sheet'!D6-'Balance Sheet'!C6)-('Balance Sheet'!D10-'Balance Sheet'!C10)</x:f>
        <x:v>-131.7510000000001</x:v>
      </x:c>
      <x:c r="E7" s="9" t="n">
        <x:f>('Balance Sheet'!E6-'Balance Sheet'!D6)-('Balance Sheet'!E10-'Balance Sheet'!D10)</x:f>
        <x:v>-19.307000000000016</x:v>
      </x:c>
      <x:c r="F7" s="9" t="n">
        <x:f>('Balance Sheet'!F6-'Balance Sheet'!E6)-('Balance Sheet'!F10-'Balance Sheet'!E10)</x:f>
        <x:v>-73.47399999999993</x:v>
      </x:c>
      <x:c r="G7" s="42" t="n">
        <x:f>('Balance Sheet'!G6-'Balance Sheet'!F6)-('Balance Sheet'!G10-'Balance Sheet'!F10)</x:f>
        <x:v>20.19067999999993</x:v>
      </x:c>
      <x:c r="H7" s="42" t="n">
        <x:f>('Balance Sheet'!H6-'Balance Sheet'!G6)-('Balance Sheet'!H10-'Balance Sheet'!G10)</x:f>
        <x:v>26.247883999999885</x:v>
      </x:c>
      <x:c r="I7" s="42" t="n">
        <x:f>('Balance Sheet'!I6-'Balance Sheet'!H6)-('Balance Sheet'!I10-'Balance Sheet'!H10)</x:f>
        <x:v>27.56027819999997</x:v>
      </x:c>
      <x:c r="J7" s="42" t="n">
        <x:f>('Balance Sheet'!J6-'Balance Sheet'!I6)-('Balance Sheet'!J10-'Balance Sheet'!I10)</x:f>
        <x:v>26.04446289900011</x:v>
      </x:c>
      <x:c r="K7" s="42" t="n">
        <x:f>('Balance Sheet'!K6-'Balance Sheet'!J6)-('Balance Sheet'!K10-'Balance Sheet'!J10)</x:f>
        <x:v>24.192412203959975</x:v>
      </x:c>
    </x:row>
    <x:row r="8">
      <x:c r="A8" s="8" t="str">
        <x:v>Cash from operations</x:v>
      </x:c>
      <x:c r="B8" s="9" t="n">
        <x:f>'SEC Actuals'!B21</x:f>
        <x:v>1223.898</x:v>
      </x:c>
      <x:c r="C8" s="9" t="n">
        <x:f>'SEC Actuals'!C21</x:f>
        <x:v>1776.882</x:v>
      </x:c>
      <x:c r="D8" s="9" t="n">
        <x:f>'SEC Actuals'!D21</x:f>
        <x:v>1744.618</x:v>
      </x:c>
      <x:c r="E8" s="9" t="n">
        <x:f>'SEC Actuals'!E21</x:f>
        <x:v>1483.156</x:v>
      </x:c>
      <x:c r="F8" s="9" t="n">
        <x:f>'SEC Actuals'!F21</x:f>
        <x:v>1678.272</x:v>
      </x:c>
      <x:c r="G8" s="42" t="n">
        <x:f>G5+G6-G7</x:f>
        <x:v>1355.1169553590337</x:v>
      </x:c>
      <x:c r="H8" s="42" t="n">
        <x:f>H5+H6-H7</x:f>
        <x:v>1436.9834632737216</x:v>
      </x:c>
      <x:c r="I8" s="42" t="n">
        <x:f>I5+I6-I7</x:f>
        <x:v>1528.8158012419185</x:v>
      </x:c>
      <x:c r="J8" s="42" t="n">
        <x:f>J5+J6-J7</x:f>
        <x:v>1642.5171949046346</x:v>
      </x:c>
      <x:c r="K8" s="42" t="n">
        <x:f>K5+K6-K7</x:f>
        <x:v>1743.3251940957934</x:v>
      </x:c>
    </x:row>
    <x:row r="9">
      <x:c r="A9" s="8" t="str">
        <x:v>Capital expenditures</x:v>
      </x:c>
      <x:c r="B9" s="9" t="n">
        <x:f>'SEC Actuals'!B22</x:f>
        <x:v>947.563</x:v>
      </x:c>
      <x:c r="C9" s="9" t="n">
        <x:f>'SEC Actuals'!C22</x:f>
        <x:v>1540.796</x:v>
      </x:c>
      <x:c r="D9" s="9" t="n">
        <x:f>'SEC Actuals'!D22</x:f>
        <x:v>1862.431</x:v>
      </x:c>
      <x:c r="E9" s="9" t="n">
        <x:f>'SEC Actuals'!E22</x:f>
        <x:v>865.373</x:v>
      </x:c>
      <x:c r="F9" s="9" t="n">
        <x:f>'SEC Actuals'!F22</x:f>
        <x:v>730.687</x:v>
      </x:c>
      <x:c r="G9" s="42" t="n">
        <x:f>'Income Statement'!G5*Assumptions!G9</x:f>
        <x:v>773.70171008</x:v>
      </x:c>
      <x:c r="H9" s="42" t="n">
        <x:f>'Income Statement'!H5*Assumptions!H9</x:f>
        <x:v>786.18076992</x:v>
      </x:c>
      <x:c r="I9" s="42" t="n">
        <x:f>'Income Statement'!I5*Assumptions!I9</x:f>
        <x:v>797.9734814688002</x:v>
      </x:c>
      <x:c r="J9" s="42" t="n">
        <x:f>'Income Statement'!J5*Assumptions!J9</x:f>
        <x:v>805.127726475072</x:v>
      </x:c>
      <x:c r="K9" s="42" t="n">
        <x:f>'Income Statement'!K5*Assumptions!K9</x:f>
        <x:v>807.428091407858</x:v>
      </x:c>
    </x:row>
    <x:row r="10">
      <x:c r="A10" s="8" t="str">
        <x:v>Free cash flow after capex</x:v>
      </x:c>
      <x:c r="B10" s="9" t="n">
        <x:f>B8-B9</x:f>
        <x:v>276.3349999999999</x:v>
      </x:c>
      <x:c r="C10" s="9" t="n">
        <x:f>C8-C9</x:f>
        <x:v>236.086</x:v>
      </x:c>
      <x:c r="D10" s="9" t="n">
        <x:f>D8-D9</x:f>
        <x:v>-117.8130000000001</x:v>
      </x:c>
      <x:c r="E10" s="9" t="n">
        <x:f>E8-E9</x:f>
        <x:v>617.7829999999999</x:v>
      </x:c>
      <x:c r="F10" s="9" t="n">
        <x:f>F8-F9</x:f>
        <x:v>947.5849999999999</x:v>
      </x:c>
      <x:c r="G10" s="9" t="n">
        <x:f>G8-G9</x:f>
        <x:v>581.4152452790337</x:v>
      </x:c>
      <x:c r="H10" s="9" t="n">
        <x:f>H8-H9</x:f>
        <x:v>650.8026933537216</x:v>
      </x:c>
      <x:c r="I10" s="9" t="n">
        <x:f>I8-I9</x:f>
        <x:v>730.8423197731183</x:v>
      </x:c>
      <x:c r="J10" s="9" t="n">
        <x:f>J8-J9</x:f>
        <x:v>837.3894684295626</x:v>
      </x:c>
      <x:c r="K10" s="9" t="n">
        <x:f>K8-K9</x:f>
        <x:v>935.8971026879354</x:v>
      </x:c>
    </x:row>
    <x:row r="11">
      <x:c r="A11" s="8" t="str">
        <x:v>Debt issuance / (repayment)</x:v>
      </x:c>
      <x:c r="B11" s="9"/>
      <x:c r="C11" s="9"/>
      <x:c r="D11" s="9"/>
      <x:c r="E11" s="9"/>
      <x:c r="F11" s="9"/>
      <x:c r="G11" s="9" t="n">
        <x:v>0</x:v>
      </x:c>
      <x:c r="H11" s="9" t="n">
        <x:v>0</x:v>
      </x:c>
      <x:c r="I11" s="9" t="n">
        <x:v>0</x:v>
      </x:c>
      <x:c r="J11" s="9" t="n">
        <x:v>0</x:v>
      </x:c>
      <x:c r="K11" s="9" t="n">
        <x:v>0</x:v>
      </x:c>
    </x:row>
    <x:row r="12">
      <x:c r="A12" s="8" t="str">
        <x:v>Dividends</x:v>
      </x:c>
      <x:c r="B12" s="9"/>
      <x:c r="C12" s="9"/>
      <x:c r="D12" s="9"/>
      <x:c r="E12" s="9"/>
      <x:c r="F12" s="9"/>
      <x:c r="G12" s="42" t="n">
        <x:f>G5*Assumptions!G12</x:f>
        <x:v>162.88054115975837</x:v>
      </x:c>
      <x:c r="H12" s="42" t="n">
        <x:f>H5*Assumptions!H12</x:f>
        <x:v>179.08990396243038</x:v>
      </x:c>
      <x:c r="I12" s="42" t="n">
        <x:f>I5*Assumptions!I12</x:f>
        <x:v>196.47973123007958</x:v>
      </x:c>
      <x:c r="J12" s="42" t="n">
        <x:f>J5*Assumptions!J12</x:f>
        <x:v>219.4528030396187</x:v>
      </x:c>
      <x:c r="K12" s="42" t="n">
        <x:f>K5*Assumptions!K12</x:f>
        <x:v>240.02237872297385</x:v>
      </x:c>
    </x:row>
    <x:row r="13">
      <x:c r="A13" s="8" t="str">
        <x:v>Share repurchases</x:v>
      </x:c>
      <x:c r="B13" s="9"/>
      <x:c r="C13" s="9"/>
      <x:c r="D13" s="9"/>
      <x:c r="E13" s="9"/>
      <x:c r="F13" s="9"/>
      <x:c r="G13" s="42" t="n">
        <x:f>G5*Assumptions!G13</x:f>
        <x:v>260.6088658556134</x:v>
      </x:c>
      <x:c r="H13" s="42" t="n">
        <x:f>H5*Assumptions!H13</x:f>
        <x:v>286.5438463398886</x:v>
      </x:c>
      <x:c r="I13" s="42" t="n">
        <x:f>I5*Assumptions!I13</x:f>
        <x:v>314.3675699681273</x:v>
      </x:c>
      <x:c r="J13" s="42" t="n">
        <x:f>J5*Assumptions!J13</x:f>
        <x:v>351.1244848633899</x:v>
      </x:c>
      <x:c r="K13" s="42" t="n">
        <x:f>K5*Assumptions!K13</x:f>
        <x:v>384.03580595675817</x:v>
      </x:c>
    </x:row>
    <x:row r="14">
      <x:c r="A14" s="8" t="str">
        <x:v>Net change in cash</x:v>
      </x:c>
      <x:c r="B14" s="9"/>
      <x:c r="C14" s="9" t="n">
        <x:f>C16-C15</x:f>
        <x:v>-303.62199999999996</x:v>
      </x:c>
      <x:c r="D14" s="9" t="n">
        <x:f>D16-D15</x:f>
        <x:v>1.4170000000000016</x:v>
      </x:c>
      <x:c r="E14" s="9" t="n">
        <x:f>E16-E15</x:f>
        <x:v>-6.361000000000004</x:v>
      </x:c>
      <x:c r="F14" s="9" t="n">
        <x:f>F16-F15</x:f>
        <x:v>-29.698999999999998</x:v>
      </x:c>
      <x:c r="G14" s="9" t="n">
        <x:f>G8-G9+G11-G12-G13</x:f>
        <x:v>157.92583826366194</x:v>
      </x:c>
      <x:c r="H14" s="9" t="n">
        <x:f>H8-H9+H11-H12-H13</x:f>
        <x:v>185.16894305140255</x:v>
      </x:c>
      <x:c r="I14" s="9" t="n">
        <x:f>I8-I9+I11-I12-I13</x:f>
        <x:v>219.99501857491146</x:v>
      </x:c>
      <x:c r="J14" s="9" t="n">
        <x:f>J8-J9+J11-J12-J13</x:f>
        <x:v>266.8121805265541</x:v>
      </x:c>
      <x:c r="K14" s="9" t="n">
        <x:f>K8-K9+K11-K12-K13</x:f>
        <x:v>311.83891800820345</x:v>
      </x:c>
    </x:row>
    <x:row r="15">
      <x:c r="A15" s="8" t="str">
        <x:v>Beginning cash</x:v>
      </x:c>
      <x:c r="B15" s="9"/>
      <x:c r="C15" s="9" t="n">
        <x:f>'Balance Sheet'!B5</x:f>
        <x:v>355.549</x:v>
      </x:c>
      <x:c r="D15" s="9" t="n">
        <x:f>'Balance Sheet'!C5</x:f>
        <x:v>51.927</x:v>
      </x:c>
      <x:c r="E15" s="9" t="n">
        <x:f>'Balance Sheet'!D5</x:f>
        <x:v>53.344</x:v>
      </x:c>
      <x:c r="F15" s="9" t="n">
        <x:f>'Balance Sheet'!E5</x:f>
        <x:v>46.983</x:v>
      </x:c>
      <x:c r="G15" s="9" t="n">
        <x:f>'Balance Sheet'!F5</x:f>
        <x:v>17.284</x:v>
      </x:c>
      <x:c r="H15" s="9" t="n">
        <x:f>'Balance Sheet'!G5</x:f>
        <x:v>175.20983826366194</x:v>
      </x:c>
      <x:c r="I15" s="9" t="n">
        <x:f>'Balance Sheet'!H5</x:f>
        <x:v>360.3787813150645</x:v>
      </x:c>
      <x:c r="J15" s="9" t="n">
        <x:f>'Balance Sheet'!I5</x:f>
        <x:v>580.373799889976</x:v>
      </x:c>
      <x:c r="K15" s="9" t="n">
        <x:f>'Balance Sheet'!J5</x:f>
        <x:v>847.1859804165301</x:v>
      </x:c>
    </x:row>
    <x:row r="16">
      <x:c r="A16" s="8" t="str">
        <x:v>Ending cash</x:v>
      </x:c>
      <x:c r="B16" s="9" t="n">
        <x:f>'Balance Sheet'!B5</x:f>
        <x:v>355.549</x:v>
      </x:c>
      <x:c r="C16" s="9" t="n">
        <x:f>'Balance Sheet'!C5</x:f>
        <x:v>51.927</x:v>
      </x:c>
      <x:c r="D16" s="9" t="n">
        <x:f>'Balance Sheet'!D5</x:f>
        <x:v>53.344</x:v>
      </x:c>
      <x:c r="E16" s="9" t="n">
        <x:f>'Balance Sheet'!E5</x:f>
        <x:v>46.983</x:v>
      </x:c>
      <x:c r="F16" s="9" t="n">
        <x:f>'Balance Sheet'!F5</x:f>
        <x:v>17.284</x:v>
      </x:c>
      <x:c r="G16" s="9" t="n">
        <x:f>G15+G14</x:f>
        <x:v>175.20983826366194</x:v>
      </x:c>
      <x:c r="H16" s="9" t="n">
        <x:f>H15+H14</x:f>
        <x:v>360.3787813150645</x:v>
      </x:c>
      <x:c r="I16" s="9" t="n">
        <x:f>I15+I14</x:f>
        <x:v>580.373799889976</x:v>
      </x:c>
      <x:c r="J16" s="9" t="n">
        <x:f>J15+J14</x:f>
        <x:v>847.1859804165301</x:v>
      </x:c>
      <x:c r="K16" s="9" t="n">
        <x:f>K15+K14</x:f>
        <x:v>1159.0248984247337</x:v>
      </x:c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</x:row>
    <x:row r="18" ht="30" customHeight="1">
      <x:c r="A18" s="86" t="str">
        <x:v>Forecast CFO is simplified as net income + D&amp;A − change in AR less AP. Other operating balance movements are held flat.</x:v>
      </x:c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</x:row>
  </x:sheetData>
  <x:mergeCells>
    <x:mergeCell ref="A18:K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32" hidden="0" customWidth="1"/>
    <x:col min="9" max="9" width="16" hidden="0" customWidth="1"/>
  </x:cols>
  <x:sheetData>
    <x:row r="2">
      <x:c r="A2" s="11" t="str">
        <x:v>Discounted cash flow valuation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15" t="str">
        <x:v>USD millions except per share</x:v>
      </x:c>
      <x:c r="B4" s="15" t="str">
        <x:v>2026E</x:v>
      </x:c>
      <x:c r="C4" s="15" t="str">
        <x:v>2027E</x:v>
      </x:c>
      <x:c r="D4" s="15" t="str">
        <x:v>2028E</x:v>
      </x:c>
      <x:c r="E4" s="15" t="str">
        <x:v>2029E</x:v>
      </x:c>
      <x:c r="F4" s="15" t="str">
        <x:v>2030E</x:v>
      </x:c>
      <x:c r="G4" s="8"/>
      <x:c r="H4" s="15" t="str">
        <x:v>Valuation bridge</x:v>
      </x:c>
      <x:c r="I4" s="15" t="str">
        <x:v>Value</x:v>
      </x:c>
    </x:row>
    <x:row r="5">
      <x:c r="A5" s="8" t="str">
        <x:v>Operating income (EBIT)</x:v>
      </x:c>
      <x:c r="B5" s="42" t="n">
        <x:f>'Income Statement'!G7</x:f>
        <x:v>935.929488</x:v>
      </x:c>
      <x:c r="C5" s="42" t="n">
        <x:f>'Income Statement'!H7</x:f>
        <x:v>1022.035000896</x:v>
      </x:c>
      <x:c r="D5" s="42" t="n">
        <x:f>'Income Statement'!I7</x:f>
        <x:v>1114.4112413616</x:v>
      </x:c>
      <x:c r="E5" s="42" t="n">
        <x:f>'Income Statement'!J7</x:f>
        <x:v>1236.446151372432</x:v>
      </x:c>
      <x:c r="F5" s="42" t="n">
        <x:f>'Income Statement'!K7</x:f>
        <x:v>1345.7134856797634</x:v>
      </x:c>
      <x:c r="G5" s="8"/>
      <x:c r="H5" s="8" t="str">
        <x:v>PV of forecast free cash flow</x:v>
      </x:c>
      <x:c r="I5" s="9" t="n">
        <x:f>SUM(B14:F14)</x:f>
        <x:v>3141.4770537947884</x:v>
      </x:c>
    </x:row>
    <x:row r="6">
      <x:c r="A6" s="8" t="str">
        <x:v>Cash tax on EBIT</x:v>
      </x:c>
      <x:c r="B6" s="9" t="n">
        <x:f>B5*Assumptions!G7</x:f>
        <x:v>231.174583536</x:v>
      </x:c>
      <x:c r="C6" s="9" t="n">
        <x:f>C5*Assumptions!H7</x:f>
        <x:v>252.442645221312</x:v>
      </x:c>
      <x:c r="D6" s="9" t="n">
        <x:f>D5*Assumptions!I7</x:f>
        <x:v>275.2595766163152</x:v>
      </x:c>
      <x:c r="E6" s="9" t="n">
        <x:f>E5*Assumptions!J7</x:f>
        <x:v>305.4021993889907</x:v>
      </x:c>
      <x:c r="F6" s="9" t="n">
        <x:f>F5*Assumptions!K7</x:f>
        <x:v>332.39123096290155</x:v>
      </x:c>
      <x:c r="G6" s="8"/>
      <x:c r="H6" s="8" t="str">
        <x:v>PV of terminal value</x:v>
      </x:c>
      <x:c r="I6" s="9" t="n">
        <x:f>I7/(1+Assumptions!$B$18)^F12</x:f>
        <x:v>12545.723259298113</x:v>
      </x:c>
    </x:row>
    <x:row r="7">
      <x:c r="A7" s="8" t="str">
        <x:v>Net operating profit after tax</x:v>
      </x:c>
      <x:c r="B7" s="9" t="n">
        <x:f>B5-B6</x:f>
        <x:v>704.754904464</x:v>
      </x:c>
      <x:c r="C7" s="9" t="n">
        <x:f>C5-C6</x:f>
        <x:v>769.5923556746881</x:v>
      </x:c>
      <x:c r="D7" s="9" t="n">
        <x:f>D5-D6</x:f>
        <x:v>839.151664745285</x:v>
      </x:c>
      <x:c r="E7" s="9" t="n">
        <x:f>E5-E6</x:f>
        <x:v>931.0439519834413</x:v>
      </x:c>
      <x:c r="F7" s="9" t="n">
        <x:f>F5-F6</x:f>
        <x:v>1013.3222547168618</x:v>
      </x:c>
      <x:c r="G7" s="8"/>
      <x:c r="H7" s="8" t="str">
        <x:v>Enterprise value</x:v>
      </x:c>
      <x:c r="I7" s="9" t="n">
        <x:f>F11*(1+Assumptions!$B$19)/(Assumptions!$B$18-Assumptions!$B$19)</x:f>
        <x:v>18433.78342864953</x:v>
      </x:c>
    </x:row>
    <x:row r="8">
      <x:c r="A8" s="8" t="str">
        <x:v>Depreciation and amortization</x:v>
      </x:c>
      <x:c r="B8" s="42" t="n">
        <x:f>'Cash Flow'!G6</x:f>
        <x:v>723.78547072</x:v>
      </x:c>
      <x:c r="C8" s="42" t="n">
        <x:f>'Cash Flow'!H6</x:f>
        <x:v>746.871731424</x:v>
      </x:c>
      <x:c r="D8" s="42" t="n">
        <x:f>'Cash Flow'!I6</x:f>
        <x:v>770.4571545216</x:v>
      </x:c>
      <x:c r="E8" s="42" t="n">
        <x:f>'Cash Flow'!J6</x:f>
        <x:v>790.7504456451601</x:v>
      </x:c>
      <x:c r="F8" s="42" t="n">
        <x:f>'Cash Flow'!K6</x:f>
        <x:v>807.428091407858</x:v>
      </x:c>
      <x:c r="G8" s="8"/>
      <x:c r="H8" s="8" t="str">
        <x:v>Less: debt</x:v>
      </x:c>
      <x:c r="I8" s="9" t="n">
        <x:f>'Balance Sheet'!F11</x:f>
        <x:v>1466.797</x:v>
      </x:c>
    </x:row>
    <x:row r="9">
      <x:c r="A9" s="8" t="str">
        <x:v>Capital expenditures</x:v>
      </x:c>
      <x:c r="B9" s="42" t="n">
        <x:f>'Cash Flow'!G9</x:f>
        <x:v>773.70171008</x:v>
      </x:c>
      <x:c r="C9" s="42" t="n">
        <x:f>'Cash Flow'!H9</x:f>
        <x:v>786.18076992</x:v>
      </x:c>
      <x:c r="D9" s="42" t="n">
        <x:f>'Cash Flow'!I9</x:f>
        <x:v>797.9734814688002</x:v>
      </x:c>
      <x:c r="E9" s="42" t="n">
        <x:f>'Cash Flow'!J9</x:f>
        <x:v>805.127726475072</x:v>
      </x:c>
      <x:c r="F9" s="42" t="n">
        <x:f>'Cash Flow'!K9</x:f>
        <x:v>807.428091407858</x:v>
      </x:c>
      <x:c r="G9" s="8"/>
      <x:c r="H9" s="8" t="str">
        <x:v>Add: cash</x:v>
      </x:c>
      <x:c r="I9" s="9" t="n">
        <x:f>'Balance Sheet'!F5</x:f>
        <x:v>17.284</x:v>
      </x:c>
    </x:row>
    <x:row r="10">
      <x:c r="A10" s="8" t="str">
        <x:v>Change in net working capital</x:v>
      </x:c>
      <x:c r="B10" s="42" t="n">
        <x:f>'Cash Flow'!G7</x:f>
        <x:v>20.19067999999993</x:v>
      </x:c>
      <x:c r="C10" s="42" t="n">
        <x:f>'Cash Flow'!H7</x:f>
        <x:v>26.247883999999885</x:v>
      </x:c>
      <x:c r="D10" s="42" t="n">
        <x:f>'Cash Flow'!I7</x:f>
        <x:v>27.56027819999997</x:v>
      </x:c>
      <x:c r="E10" s="42" t="n">
        <x:f>'Cash Flow'!J7</x:f>
        <x:v>26.04446289900011</x:v>
      </x:c>
      <x:c r="F10" s="42" t="n">
        <x:f>'Cash Flow'!K7</x:f>
        <x:v>24.192412203959975</x:v>
      </x:c>
      <x:c r="G10" s="8"/>
      <x:c r="H10" s="8" t="str">
        <x:v>Equity value</x:v>
      </x:c>
      <x:c r="I10" s="9" t="n">
        <x:f>I5+I6-I8+I9</x:f>
        <x:v>14237.6873130929</x:v>
      </x:c>
    </x:row>
    <x:row r="11">
      <x:c r="A11" s="8" t="str">
        <x:v>Unlevered free cash flow</x:v>
      </x:c>
      <x:c r="B11" s="9" t="n">
        <x:f>B7+B8-B9-B10</x:f>
        <x:v>634.647985104</x:v>
      </x:c>
      <x:c r="C11" s="9" t="n">
        <x:f>C7+C8-C9-C10</x:f>
        <x:v>704.0354331786883</x:v>
      </x:c>
      <x:c r="D11" s="9" t="n">
        <x:f>D7+D8-D9-D10</x:f>
        <x:v>784.0750595980847</x:v>
      </x:c>
      <x:c r="E11" s="9" t="n">
        <x:f>E7+E8-E9-E10</x:f>
        <x:v>890.6222082545294</x:v>
      </x:c>
      <x:c r="F11" s="9" t="n">
        <x:f>F7+F8-F9-F10</x:f>
        <x:v>989.1298425129017</x:v>
      </x:c>
      <x:c r="G11" s="8"/>
      <x:c r="H11" s="8" t="str">
        <x:v>Diluted shares (mm)</x:v>
      </x:c>
      <x:c r="I11" s="53" t="n">
        <x:f>Assumptions!B20</x:f>
        <x:v>94.944</x:v>
      </x:c>
    </x:row>
    <x:row r="12">
      <x:c r="A12" s="8" t="str">
        <x:v>Discount period</x:v>
      </x:c>
      <x:c r="B12" s="8" t="n">
        <x:v>1</x:v>
      </x:c>
      <x:c r="C12" s="8" t="n">
        <x:v>2</x:v>
      </x:c>
      <x:c r="D12" s="8" t="n">
        <x:v>3</x:v>
      </x:c>
      <x:c r="E12" s="8" t="n">
        <x:v>4</x:v>
      </x:c>
      <x:c r="F12" s="8" t="n">
        <x:v>5</x:v>
      </x:c>
      <x:c r="G12" s="8"/>
      <x:c r="H12" s="8" t="str">
        <x:v>DCF value per share</x:v>
      </x:c>
      <x:c r="I12" s="54" t="n">
        <x:f>I10/I11</x:f>
        <x:v>149.95878952954268</x:v>
      </x:c>
    </x:row>
    <x:row r="13">
      <x:c r="A13" s="8" t="str">
        <x:v>Discount factor</x:v>
      </x:c>
      <x:c r="B13" s="55" t="n">
        <x:f>1/(1+Assumptions!$B$18)^B12</x:f>
        <x:v>0.9259259259259258</x:v>
      </x:c>
      <x:c r="C13" s="55" t="n">
        <x:f>1/(1+Assumptions!$B$18)^C12</x:f>
        <x:v>0.8573388203017832</x:v>
      </x:c>
      <x:c r="D13" s="55" t="n">
        <x:f>1/(1+Assumptions!$B$18)^D12</x:f>
        <x:v>0.7938322410201696</x:v>
      </x:c>
      <x:c r="E13" s="55" t="n">
        <x:f>1/(1+Assumptions!$B$18)^E12</x:f>
        <x:v>0.7350298527964533</x:v>
      </x:c>
      <x:c r="F13" s="55" t="n">
        <x:f>1/(1+Assumptions!$B$18)^F12</x:f>
        <x:v>0.6805831970337529</x:v>
      </x:c>
      <x:c r="G13" s="8"/>
      <x:c r="H13" s="8" t="str">
        <x:v>Current share price</x:v>
      </x:c>
      <x:c r="I13" s="54" t="n">
        <x:f>Assumptions!B21</x:f>
        <x:v>226.07</x:v>
      </x:c>
    </x:row>
    <x:row r="14">
      <x:c r="A14" s="8" t="str">
        <x:v>Present value of free cash flow</x:v>
      </x:c>
      <x:c r="B14" s="9" t="n">
        <x:f>B11*B13</x:f>
        <x:v>587.6370232444443</x:v>
      </x:c>
      <x:c r="C14" s="9" t="n">
        <x:f>C11*C13</x:f>
        <x:v>603.5969077320716</x:v>
      </x:c>
      <x:c r="D14" s="9" t="n">
        <x:f>D11*D13</x:f>
        <x:v>622.4240616887706</x:v>
      </x:c>
      <x:c r="E14" s="9" t="n">
        <x:f>E11*E13</x:f>
        <x:v>654.6339106305788</x:v>
      </x:c>
      <x:c r="F14" s="9" t="n">
        <x:f>F11*F13</x:f>
        <x:v>673.1851504989232</x:v>
      </x:c>
      <x:c r="G14" s="8"/>
      <x:c r="H14" s="8" t="str">
        <x:v>Upside / (downside)</x:v>
      </x:c>
      <x:c r="I14" s="31" t="n">
        <x:f>I12/I13-1</x:f>
        <x:v>-0.3366709889435012</x:v>
      </x:c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</x:row>
    <x:row r="18">
      <x:c r="A18" s="62" t="str">
        <x:v>DCF value per share sensitivity</x:v>
      </x:c>
      <x:c r="B18" s="62"/>
      <x:c r="C18" s="62"/>
      <x:c r="D18" s="62"/>
      <x:c r="E18" s="62"/>
      <x:c r="F18" s="62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>
      <x:c r="A20" s="15" t="str">
        <x:v>WACC / terminal growth</x:v>
      </x:c>
      <x:c r="B20" s="60" t="n">
        <x:v>0.015</x:v>
      </x:c>
      <x:c r="C20" s="60" t="n">
        <x:v>0.02</x:v>
      </x:c>
      <x:c r="D20" s="60" t="n">
        <x:v>0.025</x:v>
      </x:c>
      <x:c r="E20" s="60" t="n">
        <x:v>0.03</x:v>
      </x:c>
      <x:c r="F20" s="60" t="n">
        <x:v>0.035</x:v>
      </x:c>
      <x:c r="G20" s="8"/>
      <x:c r="H20" s="8"/>
      <x:c r="I20" s="8"/>
    </x:row>
    <x:row r="21">
      <x:c r="A21" s="31" t="n">
        <x:v>0.07</x:v>
      </x:c>
      <x:c r="B21" s="63" t="n">
        <x:f>(B11/(1+$A21)^1+C11/(1+$A21)^2+D11/(1+$A21)^3+E11/(1+$A21)^4+F11/(1+$A21)^5+(F11*(1+B$20)/($A21-B$20))/(1+$A21)^5-I8+I9)/I11</x:f>
        <x:v>155.86116040568228</x:v>
      </x:c>
      <x:c r="C21" s="63" t="n">
        <x:f>(B11/(1+$A21)^1+C11/(1+$A21)^2+D11/(1+$A21)^3+E11/(1+$A21)^4+F11/(1+$A21)^5+(F11*(1+C$20)/($A21-C$20))/(1+$A21)^5-I8+I9)/I11</x:f>
        <x:v>170.3118302923603</x:v>
      </x:c>
      <x:c r="D21" s="63" t="n">
        <x:f>(B11/(1+$A21)^1+C11/(1+$A21)^2+D11/(1+$A21)^3+E11/(1+$A21)^4+F11/(1+$A21)^5+(F11*(1+D$20)/($A21-D$20))/(1+$A21)^5-I8+I9)/I11</x:f>
        <x:v>187.9737601538556</x:v>
      </x:c>
      <x:c r="E21" s="63" t="n">
        <x:f>(B11/(1+$A21)^1+C11/(1+$A21)^2+D11/(1+$A21)^3+E11/(1+$A21)^4+F11/(1+$A21)^5+(F11*(1+E$20)/($A21-E$20))/(1+$A21)^5-I8+I9)/I11</x:f>
        <x:v>210.05117248072474</x:v>
      </x:c>
      <x:c r="F21" s="63" t="n">
        <x:f>(B11/(1+$A21)^1+C11/(1+$A21)^2+D11/(1+$A21)^3+E11/(1+$A21)^4+F11/(1+$A21)^5+(F11*(1+F$20)/($A21-F$20))/(1+$A21)^5-I8+I9)/I11</x:f>
        <x:v>238.4364169009851</x:v>
      </x:c>
      <x:c r="G21" s="8"/>
      <x:c r="H21" s="8"/>
      <x:c r="I21" s="8"/>
    </x:row>
    <x:row r="22">
      <x:c r="A22" s="31" t="n">
        <x:v>0.075</x:v>
      </x:c>
      <x:c r="B22" s="63" t="n">
        <x:f>(B11/(1+$A22)^1+C11/(1+$A22)^2+D11/(1+$A22)^3+E11/(1+$A22)^4+F11/(1+$A22)^5+(F11*(1+B$20)/($A22-B$20))/(1+$A22)^5-I8+I9)/I11</x:f>
        <x:v>141.056613322204</x:v>
      </x:c>
      <x:c r="C22" s="63" t="n">
        <x:f>(B11/(1+$A22)^1+C11/(1+$A22)^2+D11/(1+$A22)^3+E11/(1+$A22)^4+F11/(1+$A22)^5+(F11*(1+C$20)/($A22-C$20))/(1+$A22)^5-I8+I9)/I11</x:f>
        <x:v>152.87635507254492</x:v>
      </x:c>
      <x:c r="D22" s="63" t="n">
        <x:f>(B11/(1+$A22)^1+C11/(1+$A22)^2+D11/(1+$A22)^3+E11/(1+$A22)^4+F11/(1+$A22)^5+(F11*(1+D$20)/($A22-D$20))/(1+$A22)^5-I8+I9)/I11</x:f>
        <x:v>167.060045172954</x:v>
      </x:c>
      <x:c r="E22" s="63" t="n">
        <x:f>(B11/(1+$A22)^1+C11/(1+$A22)^2+D11/(1+$A22)^3+E11/(1+$A22)^4+F11/(1+$A22)^5+(F11*(1+E$20)/($A22-E$20))/(1+$A22)^5-I8+I9)/I11</x:f>
        <x:v>184.3956664067874</x:v>
      </x:c>
      <x:c r="F22" s="63" t="n">
        <x:f>(B11/(1+$A22)^1+C11/(1+$A22)^2+D11/(1+$A22)^3+E11/(1+$A22)^4+F11/(1+$A22)^5+(F11*(1+F$20)/($A22-F$20))/(1+$A22)^5-I8+I9)/I11</x:f>
        <x:v>206.0651929490791</x:v>
      </x:c>
      <x:c r="G22" s="8"/>
      <x:c r="H22" s="8"/>
      <x:c r="I22" s="8"/>
    </x:row>
    <x:row r="23">
      <x:c r="A23" s="31" t="n">
        <x:v>0.08</x:v>
      </x:c>
      <x:c r="B23" s="63" t="n">
        <x:f>(B11/(1+$A23)^1+C11/(1+$A23)^2+D11/(1+$A23)^3+E11/(1+$A23)^4+F11/(1+$A23)^5+(F11*(1+B$20)/($A23-B$20))/(1+$A23)^5-I8+I9)/I11</x:f>
        <x:v>128.53902401627323</x:v>
      </x:c>
      <x:c r="C23" s="63" t="n">
        <x:f>(B11/(1+$A23)^1+C11/(1+$A23)^2+D11/(1+$A23)^3+E11/(1+$A23)^4+F11/(1+$A23)^5+(F11*(1+C$20)/($A23-C$20))/(1+$A23)^5-I8+I9)/I11</x:f>
        <x:v>138.35641654318843</x:v>
      </x:c>
      <x:c r="D23" s="63" t="n">
        <x:f>(B11/(1+$A23)^1+C11/(1+$A23)^2+D11/(1+$A23)^3+E11/(1+$A23)^4+F11/(1+$A23)^5+(F11*(1+D$20)/($A23-D$20))/(1+$A23)^5-I8+I9)/I11</x:f>
        <x:v>149.95878952954268</x:v>
      </x:c>
      <x:c r="E23" s="63" t="n">
        <x:f>(B11/(1+$A23)^1+C11/(1+$A23)^2+D11/(1+$A23)^3+E11/(1+$A23)^4+F11/(1+$A23)^5+(F11*(1+E$20)/($A23-E$20))/(1+$A23)^5-I8+I9)/I11</x:f>
        <x:v>163.8816371131678</x:v>
      </x:c>
      <x:c r="F23" s="63" t="n">
        <x:f>(B11/(1+$A23)^1+C11/(1+$A23)^2+D11/(1+$A23)^3+E11/(1+$A23)^4+F11/(1+$A23)^5+(F11*(1+F$20)/($A23-F$20))/(1+$A23)^5-I8+I9)/I11</x:f>
        <x:v>180.8984508264874</x:v>
      </x:c>
      <x:c r="G23" s="8"/>
      <x:c r="H23" s="8"/>
      <x:c r="I23" s="8"/>
    </x:row>
    <x:row r="24">
      <x:c r="A24" s="31" t="n">
        <x:v>0.085</x:v>
      </x:c>
      <x:c r="B24" s="63" t="n">
        <x:f>(B11/(1+$A24)^1+C11/(1+$A24)^2+D11/(1+$A24)^3+E11/(1+$A24)^4+F11/(1+$A24)^5+(F11*(1+B$20)/($A24-B$20))/(1+$A24)^5-I8+I9)/I11</x:f>
        <x:v>117.8181211573716</x:v>
      </x:c>
      <x:c r="C24" s="63" t="n">
        <x:f>(B11/(1+$A24)^1+C11/(1+$A24)^2+D11/(1+$A24)^3+E11/(1+$A24)^4+F11/(1+$A24)^5+(F11*(1+C$20)/($A24-C$20))/(1+$A24)^5-I8+I9)/I11</x:f>
        <x:v>126.07898445121518</x:v>
      </x:c>
      <x:c r="D24" s="63" t="n">
        <x:f>(B11/(1+$A24)^1+C11/(1+$A24)^2+D11/(1+$A24)^3+E11/(1+$A24)^4+F11/(1+$A24)^5+(F11*(1+D$20)/($A24-D$20))/(1+$A24)^5-I8+I9)/I11</x:f>
        <x:v>135.71665829403264</x:v>
      </x:c>
      <x:c r="E24" s="63" t="n">
        <x:f>(B11/(1+$A24)^1+C11/(1+$A24)^2+D11/(1+$A24)^3+E11/(1+$A24)^4+F11/(1+$A24)^5+(F11*(1+E$20)/($A24-E$20))/(1+$A24)^5-I8+I9)/I11</x:f>
        <x:v>147.10663647190782</x:v>
      </x:c>
      <x:c r="F24" s="63" t="n">
        <x:f>(B11/(1+$A24)^1+C11/(1+$A24)^2+D11/(1+$A24)^3+E11/(1+$A24)^4+F11/(1+$A24)^5+(F11*(1+F$20)/($A24-F$20))/(1+$A24)^5-I8+I9)/I11</x:f>
        <x:v>160.77461028535805</x:v>
      </x:c>
      <x:c r="G24" s="8"/>
      <x:c r="H24" s="8"/>
      <x:c r="I24" s="8"/>
    </x:row>
    <x:row r="25">
      <x:c r="A25" s="31" t="n">
        <x:v>0.09</x:v>
      </x:c>
      <x:c r="B25" s="63" t="n">
        <x:f>(B11/(1+$A25)^1+C11/(1+$A25)^2+D11/(1+$A25)^3+E11/(1+$A25)^4+F11/(1+$A25)^5+(F11*(1+B$20)/($A25-B$20))/(1+$A25)^5-I8+I9)/I11</x:f>
        <x:v>108.5343781239846</x:v>
      </x:c>
      <x:c r="C25" s="63" t="n">
        <x:f>(B11/(1+$A25)^1+C11/(1+$A25)^2+D11/(1+$A25)^3+E11/(1+$A25)^4+F11/(1+$A25)^5+(F11*(1+C$20)/($A25-C$20))/(1+$A25)^5-I8+I9)/I11</x:f>
        <x:v>115.56332869788771</x:v>
      </x:c>
      <x:c r="D25" s="63" t="n">
        <x:f>(B11/(1+$A25)^1+C11/(1+$A25)^2+D11/(1+$A25)^3+E11/(1+$A25)^4+F11/(1+$A25)^5+(F11*(1+D$20)/($A25-D$20))/(1+$A25)^5-I8+I9)/I11</x:f>
        <x:v>123.67365628316045</x:v>
      </x:c>
      <x:c r="E25" s="63" t="n">
        <x:f>(B11/(1+$A25)^1+C11/(1+$A25)^2+D11/(1+$A25)^3+E11/(1+$A25)^4+F11/(1+$A25)^5+(F11*(1+E$20)/($A25-E$20))/(1+$A25)^5-I8+I9)/I11</x:f>
        <x:v>133.13570513264543</x:v>
      </x:c>
      <x:c r="F25" s="63" t="n">
        <x:f>(B11/(1+$A25)^1+C11/(1+$A25)^2+D11/(1+$A25)^3+E11/(1+$A25)^4+F11/(1+$A25)^5+(F11*(1+F$20)/($A25-F$20))/(1+$A25)^5-I8+I9)/I11</x:f>
        <x:v>144.31812650021848</x:v>
      </x:c>
      <x:c r="G25" s="8"/>
      <x:c r="H25" s="8"/>
      <x:c r="I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</x:row>
    <x:row r="27" ht="30" customHeight="1">
      <x:c r="A27" s="56" t="str">
        <x:v>Terminal value uses the Gordon growth method at the end of 2030. Sensitivity cells recalculate from forecast free cash flow, cash, debt and shares.</x:v>
      </x:c>
      <x:c r="B27" s="56"/>
      <x:c r="C27" s="56"/>
      <x:c r="D27" s="56"/>
      <x:c r="E27" s="56"/>
      <x:c r="F27" s="56"/>
      <x:c r="G27" s="56"/>
      <x:c r="H27" s="56"/>
      <x:c r="I27" s="56"/>
    </x:row>
  </x:sheetData>
  <x:mergeCells>
    <x:mergeCell ref="A27:I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>
      <x:c r="A2" s="11" t="str">
        <x:v>Comparable companies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A4" s="15" t="str">
        <x:v>Ticker</x:v>
      </x:c>
      <x:c r="B4" s="15" t="str">
        <x:v>Company</x:v>
      </x:c>
      <x:c r="C4" s="15" t="str">
        <x:v>Revenue ($mm)</x:v>
      </x:c>
      <x:c r="D4" s="15" t="str">
        <x:v>EBIT ($mm)</x:v>
      </x:c>
      <x:c r="E4" s="15" t="str">
        <x:v>D&amp;A ($mm)</x:v>
      </x:c>
      <x:c r="F4" s="15" t="str">
        <x:v>EBITDA ($mm)</x:v>
      </x:c>
      <x:c r="G4" s="15" t="str">
        <x:v>Net income ($mm)</x:v>
      </x:c>
      <x:c r="H4" s="15" t="str">
        <x:v>Market cap ($mm)</x:v>
      </x:c>
      <x:c r="I4" s="15" t="str">
        <x:v>Debt ($mm)</x:v>
      </x:c>
      <x:c r="J4" s="15" t="str">
        <x:v>Cash ($mm)</x:v>
      </x:c>
      <x:c r="K4" s="15" t="str">
        <x:v>Enterprise value ($mm)</x:v>
      </x:c>
      <x:c r="L4" s="15" t="str">
        <x:v>EV / Revenue</x:v>
      </x:c>
      <x:c r="M4" s="15" t="str">
        <x:v>EV / EBITDA</x:v>
      </x:c>
      <x:c r="N4" s="15" t="str">
        <x:v>P / E</x:v>
      </x:c>
    </x:row>
    <x:row r="5">
      <x:c r="A5" s="8" t="str">
        <x:v>JBHT</x:v>
      </x:c>
      <x:c r="B5" s="8" t="str">
        <x:v>J.B. HUNT TRANSPORT SERVICES, INC.</x:v>
      </x:c>
      <x:c r="C5" s="67" t="n">
        <x:v>11999.096</x:v>
      </x:c>
      <x:c r="D5" s="67" t="n">
        <x:v>865.069</x:v>
      </x:c>
      <x:c r="E5" s="67" t="n">
        <x:v>714.785</x:v>
      </x:c>
      <x:c r="F5" s="9" t="n">
        <x:f>D5+E5</x:f>
        <x:v>1579.8539999999998</x:v>
      </x:c>
      <x:c r="G5" s="67" t="n">
        <x:v>598.282</x:v>
      </x:c>
      <x:c r="H5" s="67" t="n">
        <x:v>21463.99008</x:v>
      </x:c>
      <x:c r="I5" s="67" t="n">
        <x:v>1466.797</x:v>
      </x:c>
      <x:c r="J5" s="67" t="n">
        <x:v>17.284</x:v>
      </x:c>
      <x:c r="K5" s="9" t="n">
        <x:f>H5+I5-J5</x:f>
        <x:v>22913.50308</x:v>
      </x:c>
      <x:c r="L5" s="66" t="n">
        <x:f>K5/C5</x:f>
        <x:v>1.9096024467176527</x:v>
      </x:c>
      <x:c r="M5" s="66" t="n">
        <x:f>K5/F5</x:f>
        <x:v>14.503557341374584</x:v>
      </x:c>
      <x:c r="N5" s="66" t="n">
        <x:f>H5/G5</x:f>
        <x:v>35.87604186654453</x:v>
      </x:c>
    </x:row>
    <x:row r="6">
      <x:c r="A6" s="8" t="str">
        <x:v>ODFL</x:v>
      </x:c>
      <x:c r="B6" s="8" t="str">
        <x:v>OLD DOMINION FREIGHT LINE, INC.</x:v>
      </x:c>
      <x:c r="C6" s="67" t="n">
        <x:v>5496.389</x:v>
      </x:c>
      <x:c r="D6" s="67" t="n">
        <x:v>1361.045</x:v>
      </x:c>
      <x:c r="E6" s="67" t="n">
        <x:v>364.683</x:v>
      </x:c>
      <x:c r="F6" s="9" t="n">
        <x:f>D6+E6</x:f>
        <x:v>1725.728</x:v>
      </x:c>
      <x:c r="G6" s="67" t="n">
        <x:v>1023.703</x:v>
      </x:c>
      <x:c r="H6" s="67" t="n">
        <x:v>36911.24775</x:v>
      </x:c>
      <x:c r="I6" s="67" t="n">
        <x:v>20</x:v>
      </x:c>
      <x:c r="J6" s="67" t="n">
        <x:v>120.091</x:v>
      </x:c>
      <x:c r="K6" s="9" t="n">
        <x:f>H6+I6-J6</x:f>
        <x:v>36811.15675</x:v>
      </x:c>
      <x:c r="L6" s="66" t="n">
        <x:f>K6/C6</x:f>
        <x:v>6.697334695561032</x:v>
      </x:c>
      <x:c r="M6" s="66" t="n">
        <x:f>K6/F6</x:f>
        <x:v>21.330798799115502</x:v>
      </x:c>
      <x:c r="N6" s="66" t="n">
        <x:f>H6/G6</x:f>
        <x:v>36.05659820279906</x:v>
      </x:c>
    </x:row>
    <x:row r="7">
      <x:c r="A7" s="8" t="str">
        <x:v>CHRW</x:v>
      </x:c>
      <x:c r="B7" s="8" t="str">
        <x:v>C. H. ROBINSON WORLDWIDE, INC.</x:v>
      </x:c>
      <x:c r="C7" s="67" t="n">
        <x:v>16232.763</x:v>
      </x:c>
      <x:c r="D7" s="67" t="n">
        <x:v>794.961</x:v>
      </x:c>
      <x:c r="E7" s="67" t="n">
        <x:v>102.818</x:v>
      </x:c>
      <x:c r="F7" s="9" t="n">
        <x:f>D7+E7</x:f>
        <x:v>897.779</x:v>
      </x:c>
      <x:c r="G7" s="67" t="n">
        <x:v>587.081</x:v>
      </x:c>
      <x:c r="H7" s="67" t="n">
        <x:v>17751.88824</x:v>
      </x:c>
      <x:c r="I7" s="67" t="n">
        <x:v>1089.438</x:v>
      </x:c>
      <x:c r="J7" s="67" t="n">
        <x:v>160.871</x:v>
      </x:c>
      <x:c r="K7" s="9" t="n">
        <x:f>H7+I7-J7</x:f>
        <x:v>18680.455240000003</x:v>
      </x:c>
      <x:c r="L7" s="66" t="n">
        <x:f>K7/C7</x:f>
        <x:v>1.1507871605098898</x:v>
      </x:c>
      <x:c r="M7" s="66" t="n">
        <x:f>K7/F7</x:f>
        <x:v>20.807409440407945</x:v>
      </x:c>
      <x:c r="N7" s="66" t="n">
        <x:f>H7/G7</x:f>
        <x:v>30.23754514283378</x:v>
      </x:c>
    </x:row>
    <x:row r="8">
      <x:c r="A8" s="8" t="str">
        <x:v>LSTR</x:v>
      </x:c>
      <x:c r="B8" s="8" t="str">
        <x:v>LANDSTAR SYSTEM, INC.</x:v>
      </x:c>
      <x:c r="C8" s="67" t="n">
        <x:v>4743.76</x:v>
      </x:c>
      <x:c r="D8" s="67" t="n">
        <x:v>151.577</x:v>
      </x:c>
      <x:c r="E8" s="67" t="n">
        <x:v>46.388</x:v>
      </x:c>
      <x:c r="F8" s="9" t="n">
        <x:f>D8+E8</x:f>
        <x:v>197.965</x:v>
      </x:c>
      <x:c r="G8" s="67" t="n">
        <x:v>115.007</x:v>
      </x:c>
      <x:c r="H8" s="67" t="n">
        <x:v>5613.18835</x:v>
      </x:c>
      <x:c r="I8" s="67" t="n">
        <x:v>0</x:v>
      </x:c>
      <x:c r="J8" s="67" t="n">
        <x:v>396.694</x:v>
      </x:c>
      <x:c r="K8" s="9" t="n">
        <x:f>H8+I8-J8</x:f>
        <x:v>5216.49435</x:v>
      </x:c>
      <x:c r="L8" s="66" t="n">
        <x:f>K8/C8</x:f>
        <x:v>1.0996539348533652</x:v>
      </x:c>
      <x:c r="M8" s="66" t="n">
        <x:f>K8/F8</x:f>
        <x:v>26.350588993003814</x:v>
      </x:c>
      <x:c r="N8" s="66" t="n">
        <x:f>H8/G8</x:f>
        <x:v>48.807362595320285</x:v>
      </x:c>
    </x:row>
    <x:row r="9">
      <x:c r="A9" s="8" t="str">
        <x:v>Peer median</x:v>
      </x:c>
      <x:c r="B9" s="8" t="str">
        <x:v>Excludes JBHT</x:v>
      </x:c>
      <x:c r="C9" s="8"/>
      <x:c r="D9" s="8"/>
      <x:c r="E9" s="8"/>
      <x:c r="F9" s="8"/>
      <x:c r="G9" s="8"/>
      <x:c r="H9" s="8"/>
      <x:c r="I9" s="8"/>
      <x:c r="J9" s="8"/>
      <x:c r="K9" s="8"/>
      <x:c r="L9" s="66" t="n">
        <x:f>MEDIAN(L6:L8)</x:f>
        <x:v>1.1507871605098898</x:v>
      </x:c>
      <x:c r="M9" s="66" t="n">
        <x:f>MEDIAN(M6:M8)</x:f>
        <x:v>21.330798799115502</x:v>
      </x:c>
      <x:c r="N9" s="66" t="n">
        <x:f>MEDIAN(N6:N8)</x:f>
        <x:v>36.05659820279906</x:v>
      </x:c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  <x:row r="11">
      <x:c r="A11" s="38" t="str">
        <x:v>Interpretation</x:v>
      </x:c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</x:row>
    <x:row r="12" ht="42" customHeight="1">
      <x:c r="A12" s="10" t="str">
        <x:v>J.B. Hunt screens below the peer median on EV / EBITDA. Its truck, rail and dedicated operations are more asset intensive, so depreciation is high; compare that multiple with free cash flow and DCF rather than treating it as a stand-alone signal.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</x:sheetData>
  <x:mergeCells>
    <x:mergeCell ref="A12:N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2">
      <x:c r="A2" s="11" t="str">
        <x:v>J.B. Hunt reported financial data</x:v>
      </x:c>
      <x:c r="B2" s="11"/>
      <x:c r="C2" s="11"/>
      <x:c r="D2" s="11"/>
      <x:c r="E2" s="11"/>
      <x:c r="F2" s="11"/>
    </x:row>
    <x:row r="3">
      <x:c r="A3" s="8"/>
      <x:c r="B3" s="8"/>
      <x:c r="C3" s="8"/>
      <x:c r="D3" s="8"/>
      <x:c r="E3" s="8"/>
      <x:c r="F3" s="8"/>
    </x:row>
    <x:row r="4">
      <x:c r="A4" s="15" t="str">
        <x:v>USD millions</x:v>
      </x:c>
      <x:c r="B4" s="15" t="str">
        <x:v>2021</x:v>
      </x:c>
      <x:c r="C4" s="15" t="str">
        <x:v>2022</x:v>
      </x:c>
      <x:c r="D4" s="15" t="str">
        <x:v>2023</x:v>
      </x:c>
      <x:c r="E4" s="15" t="str">
        <x:v>2024</x:v>
      </x:c>
      <x:c r="F4" s="15" t="str">
        <x:v>2025</x:v>
      </x:c>
    </x:row>
    <x:row r="5">
      <x:c r="A5" s="8" t="str">
        <x:v>Revenue</x:v>
      </x:c>
      <x:c r="B5" s="9" t="n">
        <x:v>12168.302</x:v>
      </x:c>
      <x:c r="C5" s="9" t="n">
        <x:v>14813.999</x:v>
      </x:c>
      <x:c r="D5" s="9" t="n">
        <x:v>12829.665</x:v>
      </x:c>
      <x:c r="E5" s="9" t="n">
        <x:v>12087.204</x:v>
      </x:c>
      <x:c r="F5" s="9" t="n">
        <x:v>11999.096</x:v>
      </x:c>
    </x:row>
    <x:row r="6">
      <x:c r="A6" s="8" t="str">
        <x:v>Operating income (EBIT)</x:v>
      </x:c>
      <x:c r="B6" s="9" t="n">
        <x:v>1045.53</x:v>
      </x:c>
      <x:c r="C6" s="9" t="n">
        <x:v>1331.553</x:v>
      </x:c>
      <x:c r="D6" s="9" t="n">
        <x:v>993.196</x:v>
      </x:c>
      <x:c r="E6" s="9" t="n">
        <x:v>831.225</x:v>
      </x:c>
      <x:c r="F6" s="9" t="n">
        <x:v>865.069</x:v>
      </x:c>
    </x:row>
    <x:row r="7">
      <x:c r="A7" s="8" t="str">
        <x:v>Earnings before income taxes</x:v>
      </x:c>
      <x:c r="B7" s="9" t="n">
        <x:v>999.772</x:v>
      </x:c>
      <x:c r="C7" s="9" t="n">
        <x:v>1281.373</x:v>
      </x:c>
      <x:c r="D7" s="9" t="n">
        <x:v>934.887</x:v>
      </x:c>
      <x:c r="E7" s="9" t="n">
        <x:v>759.516</x:v>
      </x:c>
      <x:c r="F7" s="9" t="n">
        <x:v>794.112</x:v>
      </x:c>
    </x:row>
    <x:row r="8">
      <x:c r="A8" s="8" t="str">
        <x:v>Income tax expense</x:v>
      </x:c>
      <x:c r="B8" s="9" t="n">
        <x:v>238.966</x:v>
      </x:c>
      <x:c r="C8" s="9" t="n">
        <x:v>312.022</x:v>
      </x:c>
      <x:c r="D8" s="9" t="n">
        <x:v>206.6</x:v>
      </x:c>
      <x:c r="E8" s="9" t="n">
        <x:v>188.63</x:v>
      </x:c>
      <x:c r="F8" s="9" t="n">
        <x:v>195.83</x:v>
      </x:c>
    </x:row>
    <x:row r="9">
      <x:c r="A9" s="8" t="str">
        <x:v>Net income</x:v>
      </x:c>
      <x:c r="B9" s="9" t="n">
        <x:v>760.806</x:v>
      </x:c>
      <x:c r="C9" s="9" t="n">
        <x:v>969.351</x:v>
      </x:c>
      <x:c r="D9" s="9" t="n">
        <x:v>728.287</x:v>
      </x:c>
      <x:c r="E9" s="9" t="n">
        <x:v>570.886</x:v>
      </x:c>
      <x:c r="F9" s="9" t="n">
        <x:v>598.282</x:v>
      </x:c>
    </x:row>
    <x:row r="10">
      <x:c r="A10" s="8" t="str">
        <x:v>Total assets</x:v>
      </x:c>
      <x:c r="B10" s="9" t="n">
        <x:v>6794.348</x:v>
      </x:c>
      <x:c r="C10" s="9" t="n">
        <x:v>7786.582</x:v>
      </x:c>
      <x:c r="D10" s="9" t="n">
        <x:v>8538.26</x:v>
      </x:c>
      <x:c r="E10" s="9" t="n">
        <x:v>8312.27</x:v>
      </x:c>
      <x:c r="F10" s="9" t="n">
        <x:v>7927.155</x:v>
      </x:c>
    </x:row>
    <x:row r="11">
      <x:c r="A11" s="8" t="str">
        <x:v>Total liabilities</x:v>
      </x:c>
      <x:c r="B11" s="9" t="n">
        <x:v>3676.532</x:v>
      </x:c>
      <x:c r="C11" s="9" t="n">
        <x:v>4119.814</x:v>
      </x:c>
      <x:c r="D11" s="9" t="n">
        <x:v>4434.502</x:v>
      </x:c>
      <x:c r="E11" s="9" t="n">
        <x:v>4297.765</x:v>
      </x:c>
      <x:c r="F11" s="9" t="n">
        <x:v>4362.07</x:v>
      </x:c>
    </x:row>
    <x:row r="12">
      <x:c r="A12" s="8" t="str">
        <x:v>Stockholders’ equity</x:v>
      </x:c>
      <x:c r="B12" s="9" t="n">
        <x:v>3117.816</x:v>
      </x:c>
      <x:c r="C12" s="9" t="n">
        <x:v>3666.768</x:v>
      </x:c>
      <x:c r="D12" s="9" t="n">
        <x:v>4103.758</x:v>
      </x:c>
      <x:c r="E12" s="9" t="n">
        <x:v>4014.505</x:v>
      </x:c>
      <x:c r="F12" s="9" t="n">
        <x:v>3565.085</x:v>
      </x:c>
    </x:row>
    <x:row r="13">
      <x:c r="A13" s="8" t="str">
        <x:v>Cash and cash equivalents</x:v>
      </x:c>
      <x:c r="B13" s="9" t="n">
        <x:v>355.549</x:v>
      </x:c>
      <x:c r="C13" s="9" t="n">
        <x:v>51.927</x:v>
      </x:c>
      <x:c r="D13" s="9" t="n">
        <x:v>53.344</x:v>
      </x:c>
      <x:c r="E13" s="9" t="n">
        <x:v>46.983</x:v>
      </x:c>
      <x:c r="F13" s="9" t="n">
        <x:v>17.284</x:v>
      </x:c>
    </x:row>
    <x:row r="14">
      <x:c r="A14" s="8" t="str">
        <x:v>Accounts receivable</x:v>
      </x:c>
      <x:c r="B14" s="9" t="n">
        <x:v>1506.619</x:v>
      </x:c>
      <x:c r="C14" s="9" t="n">
        <x:v>1528.075</x:v>
      </x:c>
      <x:c r="D14" s="9" t="n">
        <x:v>1334.912</x:v>
      </x:c>
      <x:c r="E14" s="9" t="n">
        <x:v>1224.166</x:v>
      </x:c>
      <x:c r="F14" s="9" t="n">
        <x:v>1160.371</x:v>
      </x:c>
    </x:row>
    <x:row r="15">
      <x:c r="A15" s="8" t="str">
        <x:v>Accounts payable</x:v>
      </x:c>
      <x:c r="B15" s="9" t="n">
        <x:v>772.736</x:v>
      </x:c>
      <x:c r="C15" s="9" t="n">
        <x:v>798.776</x:v>
      </x:c>
      <x:c r="D15" s="9" t="n">
        <x:v>737.364</x:v>
      </x:c>
      <x:c r="E15" s="9" t="n">
        <x:v>645.925</x:v>
      </x:c>
      <x:c r="F15" s="9" t="n">
        <x:v>655.604</x:v>
      </x:c>
    </x:row>
    <x:row r="16">
      <x:c r="A16" s="8" t="str">
        <x:v>Current debt</x:v>
      </x:c>
      <x:c r="B16" s="9" t="n">
        <x:v>355.972</x:v>
      </x:c>
      <x:c r="C16" s="9" t="n">
        <x:v>0</x:v>
      </x:c>
      <x:c r="D16" s="9" t="n">
        <x:v>249.961</x:v>
      </x:c>
      <x:c r="E16" s="9" t="n">
        <x:v>500</x:v>
      </x:c>
      <x:c r="F16" s="9" t="n">
        <x:v>699.859</x:v>
      </x:c>
    </x:row>
    <x:row r="17">
      <x:c r="A17" s="8" t="str">
        <x:v>Long-term debt</x:v>
      </x:c>
      <x:c r="B17" s="9" t="n">
        <x:v>945.257</x:v>
      </x:c>
      <x:c r="C17" s="9" t="n">
        <x:v>1261.738</x:v>
      </x:c>
      <x:c r="D17" s="9" t="n">
        <x:v>1326.107</x:v>
      </x:c>
      <x:c r="E17" s="9" t="n">
        <x:v>977.702</x:v>
      </x:c>
      <x:c r="F17" s="9" t="n">
        <x:v>766.938</x:v>
      </x:c>
    </x:row>
    <x:row r="18">
      <x:c r="A18" s="8" t="str">
        <x:v>Total debt</x:v>
      </x:c>
      <x:c r="B18" s="9" t="n">
        <x:f>B16+B17</x:f>
        <x:v>1301.2289999999998</x:v>
      </x:c>
      <x:c r="C18" s="9" t="n">
        <x:f>C16+C17</x:f>
        <x:v>1261.738</x:v>
      </x:c>
      <x:c r="D18" s="9" t="n">
        <x:f>D16+D17</x:f>
        <x:v>1576.068</x:v>
      </x:c>
      <x:c r="E18" s="9" t="n">
        <x:f>E16+E17</x:f>
        <x:v>1477.702</x:v>
      </x:c>
      <x:c r="F18" s="9" t="n">
        <x:f>F16+F17</x:f>
        <x:v>1466.797</x:v>
      </x:c>
    </x:row>
    <x:row r="19">
      <x:c r="A19" s="8" t="str">
        <x:v>Net PP&amp;E</x:v>
      </x:c>
      <x:c r="B19" s="9" t="n">
        <x:v>4067.655</x:v>
      </x:c>
      <x:c r="C19" s="9" t="n">
        <x:v>4979.817</x:v>
      </x:c>
      <x:c r="D19" s="9" t="n">
        <x:v>5773.913</x:v>
      </x:c>
      <x:c r="E19" s="9" t="n">
        <x:v>5729.799</x:v>
      </x:c>
      <x:c r="F19" s="9" t="n">
        <x:v>5538.101</x:v>
      </x:c>
    </x:row>
    <x:row r="20">
      <x:c r="A20" s="8" t="str">
        <x:v>Depreciation and amortization</x:v>
      </x:c>
      <x:c r="B20" s="9" t="n">
        <x:v>557.093</x:v>
      </x:c>
      <x:c r="C20" s="9" t="n">
        <x:v>644.52</x:v>
      </x:c>
      <x:c r="D20" s="9" t="n">
        <x:v>737.954</x:v>
      </x:c>
      <x:c r="E20" s="9" t="n">
        <x:v>761.141</x:v>
      </x:c>
      <x:c r="F20" s="9" t="n">
        <x:v>714.785</x:v>
      </x:c>
    </x:row>
    <x:row r="21">
      <x:c r="A21" s="8" t="str">
        <x:v>Cash from operations</x:v>
      </x:c>
      <x:c r="B21" s="9" t="n">
        <x:v>1223.898</x:v>
      </x:c>
      <x:c r="C21" s="9" t="n">
        <x:v>1776.882</x:v>
      </x:c>
      <x:c r="D21" s="9" t="n">
        <x:v>1744.618</x:v>
      </x:c>
      <x:c r="E21" s="9" t="n">
        <x:v>1483.156</x:v>
      </x:c>
      <x:c r="F21" s="9" t="n">
        <x:v>1678.272</x:v>
      </x:c>
    </x:row>
    <x:row r="22">
      <x:c r="A22" s="8" t="str">
        <x:v>Capital expenditures</x:v>
      </x:c>
      <x:c r="B22" s="9" t="n">
        <x:v>947.563</x:v>
      </x:c>
      <x:c r="C22" s="9" t="n">
        <x:v>1540.796</x:v>
      </x:c>
      <x:c r="D22" s="9" t="n">
        <x:v>1862.431</x:v>
      </x:c>
      <x:c r="E22" s="9" t="n">
        <x:v>865.373</x:v>
      </x:c>
      <x:c r="F22" s="9" t="n">
        <x:v>730.687</x:v>
      </x:c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 t="str">
        <x:v>Source and units</x:v>
      </x:c>
      <x:c r="B25" s="8"/>
      <x:c r="C25" s="8"/>
      <x:c r="D25" s="8"/>
      <x:c r="E25" s="8"/>
      <x:c r="F25" s="8"/>
    </x:row>
    <x:row r="26" ht="32" customHeight="1">
      <x:c r="A26" s="10" t="str">
        <x:v>Historical actuals</x:v>
      </x:c>
      <x:c r="B26" s="10" t="str">
        <x:v>FY2021–FY2025</x:v>
      </x:c>
      <x:c r="C26" s="10" t="str">
        <x:v>SEC Companyfacts API</x:v>
      </x:c>
      <x:c r="D26" s="10" t="str">
        <x:v>USD converted to USD millions</x:v>
      </x:c>
      <x:c r="E26" s="10" t="str">
        <x:v>FY ends December 31</x:v>
      </x:c>
      <x:c r="F26" s="10" t="str">
        <x:v>2021–2025 Form 10-K filings</x:v>
      </x:c>
    </x:row>
    <x:row r="27" ht="32" customHeight="1">
      <x:c r="A27" s="10" t="str">
        <x:v>SEC Companyfacts</x:v>
      </x:c>
      <x:c r="B27" s="10" t="str">
        <x:v>https://data.sec.gov/api/xbrl/companyfacts/CIK0000728535.json</x:v>
      </x:c>
      <x:c r="C27" s="10"/>
      <x:c r="D27" s="10"/>
      <x:c r="E27" s="10"/>
      <x:c r="F27" s="10"/>
    </x:row>
    <x:row r="28" ht="32" customHeight="1">
      <x:c r="A28" s="10" t="str">
        <x:v>2025 Form 10-K</x:v>
      </x:c>
      <x:c r="B28" s="10" t="str">
        <x:v>https://www.sec.gov/Archives/edgar/data/728535/000143774926005294/jbht20251231_10k.htm</x:v>
      </x:c>
      <x:c r="C28" s="10"/>
      <x:c r="D28" s="10"/>
      <x:c r="E28" s="10"/>
      <x:c r="F28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11" t="str">
        <x:v>Model checks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5" t="str">
        <x:v>Check</x:v>
      </x:c>
      <x:c r="B4" s="15" t="str">
        <x:v>2021A</x:v>
      </x:c>
      <x:c r="C4" s="15" t="str">
        <x:v>2022A</x:v>
      </x:c>
      <x:c r="D4" s="15" t="str">
        <x:v>2023A</x:v>
      </x:c>
      <x:c r="E4" s="15" t="str">
        <x:v>2024A</x:v>
      </x:c>
      <x:c r="F4" s="15" t="str">
        <x:v>2025A</x:v>
      </x:c>
      <x:c r="G4" s="15" t="str">
        <x:v>2026E</x:v>
      </x:c>
      <x:c r="H4" s="15" t="str">
        <x:v>2027E</x:v>
      </x:c>
      <x:c r="I4" s="15" t="str">
        <x:v>2028E</x:v>
      </x:c>
      <x:c r="J4" s="15" t="str">
        <x:v>2029E</x:v>
      </x:c>
      <x:c r="K4" s="15" t="str">
        <x:v>2030E</x:v>
      </x:c>
    </x:row>
    <x:row r="5">
      <x:c r="A5" s="8" t="str">
        <x:v>Balance sheet check (assets less liabilities and equity)</x:v>
      </x:c>
      <x:c r="B5" s="70" t="n">
        <x:f>'Balance Sheet'!B16</x:f>
        <x:v>0</x:v>
      </x:c>
      <x:c r="C5" s="70" t="n">
        <x:f>'Balance Sheet'!C16</x:f>
        <x:v>0</x:v>
      </x:c>
      <x:c r="D5" s="70" t="n">
        <x:f>'Balance Sheet'!D16</x:f>
        <x:v>0</x:v>
      </x:c>
      <x:c r="E5" s="70" t="n">
        <x:f>'Balance Sheet'!E16</x:f>
        <x:v>0</x:v>
      </x:c>
      <x:c r="F5" s="70" t="n">
        <x:f>'Balance Sheet'!F16</x:f>
        <x:v>0</x:v>
      </x:c>
      <x:c r="G5" s="70" t="n">
        <x:f>'Balance Sheet'!G16</x:f>
        <x:v>0</x:v>
      </x:c>
      <x:c r="H5" s="70" t="n">
        <x:f>'Balance Sheet'!H16</x:f>
        <x:v>0</x:v>
      </x:c>
      <x:c r="I5" s="70" t="n">
        <x:f>'Balance Sheet'!I16</x:f>
        <x:v>0</x:v>
      </x:c>
      <x:c r="J5" s="70" t="n">
        <x:f>'Balance Sheet'!J16</x:f>
        <x:v>0</x:v>
      </x:c>
      <x:c r="K5" s="70" t="n">
        <x:f>'Balance Sheet'!K16</x:f>
        <x:v>0</x:v>
      </x:c>
    </x:row>
    <x:row r="6">
      <x:c r="A6" s="8" t="str">
        <x:v>Net income check (pretax less tax less net income)</x:v>
      </x:c>
      <x:c r="B6" s="70" t="n">
        <x:f>'Income Statement'!B10-'Income Statement'!B11-'Income Statement'!B13</x:f>
        <x:v>0</x:v>
      </x:c>
      <x:c r="C6" s="70" t="n">
        <x:f>'Income Statement'!C10-'Income Statement'!C11-'Income Statement'!C13</x:f>
        <x:v>1.1368683772161603e-13</x:v>
      </x:c>
      <x:c r="D6" s="70" t="n">
        <x:f>'Income Statement'!D10-'Income Statement'!D11-'Income Statement'!D13</x:f>
        <x:v>-1.1368683772161603e-13</x:v>
      </x:c>
      <x:c r="E6" s="70" t="n">
        <x:f>'Income Statement'!E10-'Income Statement'!E11-'Income Statement'!E13</x:f>
        <x:v>0</x:v>
      </x:c>
      <x:c r="F6" s="70" t="n">
        <x:f>'Income Statement'!F10-'Income Statement'!F11-'Income Statement'!F13</x:f>
        <x:v>-1.1368683772161603e-13</x:v>
      </x:c>
      <x:c r="G6" s="70" t="n">
        <x:f>'Income Statement'!G10-'Income Statement'!G11-'Income Statement'!G13</x:f>
        <x:v>0</x:v>
      </x:c>
      <x:c r="H6" s="70" t="n">
        <x:f>'Income Statement'!H10-'Income Statement'!H11-'Income Statement'!H13</x:f>
        <x:v>0</x:v>
      </x:c>
      <x:c r="I6" s="70" t="n">
        <x:f>'Income Statement'!I10-'Income Statement'!I11-'Income Statement'!I13</x:f>
        <x:v>0</x:v>
      </x:c>
      <x:c r="J6" s="70" t="n">
        <x:f>'Income Statement'!J10-'Income Statement'!J11-'Income Statement'!J13</x:f>
        <x:v>0</x:v>
      </x:c>
      <x:c r="K6" s="70" t="n">
        <x:f>'Income Statement'!K10-'Income Statement'!K11-'Income Statement'!K13</x:f>
        <x:v>0</x:v>
      </x:c>
    </x:row>
    <x:row r="7">
      <x:c r="A7" s="8" t="str">
        <x:v>Cash check (cash flow ending less balance-sheet cash)</x:v>
      </x:c>
      <x:c r="B7" s="70" t="n">
        <x:f>'Cash Flow'!B16-'Balance Sheet'!B5</x:f>
        <x:v>0</x:v>
      </x:c>
      <x:c r="C7" s="70" t="n">
        <x:f>'Cash Flow'!C16-'Balance Sheet'!C5</x:f>
        <x:v>0</x:v>
      </x:c>
      <x:c r="D7" s="70" t="n">
        <x:f>'Cash Flow'!D16-'Balance Sheet'!D5</x:f>
        <x:v>0</x:v>
      </x:c>
      <x:c r="E7" s="70" t="n">
        <x:f>'Cash Flow'!E16-'Balance Sheet'!E5</x:f>
        <x:v>0</x:v>
      </x:c>
      <x:c r="F7" s="70" t="n">
        <x:f>'Cash Flow'!F16-'Balance Sheet'!F5</x:f>
        <x:v>0</x:v>
      </x:c>
      <x:c r="G7" s="70" t="n">
        <x:f>'Cash Flow'!G16-'Balance Sheet'!G5</x:f>
        <x:v>0</x:v>
      </x:c>
      <x:c r="H7" s="70" t="n">
        <x:f>'Cash Flow'!H16-'Balance Sheet'!H5</x:f>
        <x:v>0</x:v>
      </x:c>
      <x:c r="I7" s="70" t="n">
        <x:f>'Cash Flow'!I16-'Balance Sheet'!I5</x:f>
        <x:v>0</x:v>
      </x:c>
      <x:c r="J7" s="70" t="n">
        <x:f>'Cash Flow'!J16-'Balance Sheet'!J5</x:f>
        <x:v>0</x:v>
      </x:c>
      <x:c r="K7" s="70" t="n">
        <x:f>'Cash Flow'!K16-'Balance Sheet'!K5</x:f>
        <x:v>0</x:v>
      </x:c>
    </x:row>
    <x:row r="8">
      <x:c r="A8" s="8" t="str">
        <x:v>Net interest check (EBIT plus net interest less pretax)</x:v>
      </x:c>
      <x:c r="B8" s="70" t="n">
        <x:f>'Income Statement'!B7+'Income Statement'!B9-'Income Statement'!B10</x:f>
        <x:v>0</x:v>
      </x:c>
      <x:c r="C8" s="70" t="n">
        <x:f>'Income Statement'!C7+'Income Statement'!C9-'Income Statement'!C10</x:f>
        <x:v>0</x:v>
      </x:c>
      <x:c r="D8" s="70" t="n">
        <x:f>'Income Statement'!D7+'Income Statement'!D9-'Income Statement'!D10</x:f>
        <x:v>0</x:v>
      </x:c>
      <x:c r="E8" s="70" t="n">
        <x:f>'Income Statement'!E7+'Income Statement'!E9-'Income Statement'!E10</x:f>
        <x:v>0</x:v>
      </x:c>
      <x:c r="F8" s="70" t="n">
        <x:f>'Income Statement'!F7+'Income Statement'!F9-'Income Statement'!F10</x:f>
        <x:v>0</x:v>
      </x:c>
      <x:c r="G8" s="70" t="n">
        <x:f>'Income Statement'!G7+'Income Statement'!G9-'Income Statement'!G10</x:f>
        <x:v>0</x:v>
      </x:c>
      <x:c r="H8" s="70" t="n">
        <x:f>'Income Statement'!H7+'Income Statement'!H9-'Income Statement'!H10</x:f>
        <x:v>0</x:v>
      </x:c>
      <x:c r="I8" s="70" t="n">
        <x:f>'Income Statement'!I7+'Income Statement'!I9-'Income Statement'!I10</x:f>
        <x:v>0</x:v>
      </x:c>
      <x:c r="J8" s="70" t="n">
        <x:f>'Income Statement'!J7+'Income Statement'!J9-'Income Statement'!J10</x:f>
        <x:v>0</x:v>
      </x:c>
      <x:c r="K8" s="70" t="n">
        <x:f>'Income Statement'!K7+'Income Statement'!K9-'Income Statement'!K10</x:f>
        <x:v>0</x:v>
      </x:c>
    </x:row>
    <x:row r="9">
      <x:c r="A9" s="8" t="str">
        <x:v>DCF sensitivity base-case difference ($ / share)</x:v>
      </x:c>
      <x:c r="B9" s="70" t="n">
        <x:f>DCF!D23-DCF!I12</x:f>
        <x:v>0</x:v>
      </x:c>
      <x:c r="C9" s="8"/>
      <x:c r="D9" s="8"/>
      <x:c r="E9" s="8"/>
      <x:c r="F9" s="8"/>
      <x:c r="G9" s="8"/>
      <x:c r="H9" s="8"/>
      <x:c r="I9" s="8"/>
      <x:c r="J9" s="8"/>
      <x:c r="K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A11" s="8" t="str">
        <x:v>Terminal growth below WACC</x:v>
      </x:c>
      <x:c r="B11" s="8" t="b">
        <x:f>Assumptions!B19&lt;Assumptions!B18</x:f>
        <x:v>1</x:v>
      </x:c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A12" s="38" t="str">
        <x:v>Overall result</x:v>
      </x:c>
      <x:c r="B12" s="38" t="str">
        <x:f>IF(AND(MAX(ABS(B5),ABS(C5),ABS(D5),ABS(E5),ABS(F5),ABS(G5),ABS(H5),ABS(I5),ABS(J5),ABS(K5))&lt;0.1,MAX(ABS(B6),ABS(C6),ABS(D6),ABS(E6),ABS(F6),ABS(G6),ABS(H6),ABS(I6),ABS(J6),ABS(K6))&lt;0.1,MAX(ABS(B7),ABS(C7),ABS(D7),ABS(E7),ABS(F7),ABS(G7),ABS(H7),ABS(I7),ABS(J7),ABS(K7))&lt;0.1,MAX(ABS(B8),ABS(C8),ABS(D8),ABS(E8),ABS(F8),ABS(G8),ABS(H8),ABS(I8),ABS(J8),ABS(K8))&lt;0.1,ABS(B9)&lt;0.01,B11=TRUE),"PASS","REVIEW")</x:f>
        <x:v>PASS</x:v>
      </x:c>
      <x:c r="C12" s="8"/>
      <x:c r="D12" s="8"/>
      <x:c r="E12" s="8"/>
      <x:c r="F12" s="8"/>
      <x:c r="G12" s="8"/>
      <x:c r="H12" s="8"/>
      <x:c r="I12" s="8"/>
      <x:c r="J12" s="8"/>
      <x:c r="K12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0" hidden="0" customWidth="1"/>
    <x:col min="3" max="3" width="25" hidden="0" customWidth="1"/>
    <x:col min="4" max="4" width="90" hidden="0" customWidth="1"/>
  </x:cols>
  <x:sheetData>
    <x:row r="2">
      <x:c r="A2" s="11" t="str">
        <x:v>Sources and data notes</x:v>
      </x:c>
      <x:c r="B2" s="11"/>
      <x:c r="C2" s="11"/>
      <x:c r="D2" s="11"/>
    </x:row>
    <x:row r="3">
      <x:c r="A3" s="8"/>
      <x:c r="B3" s="8"/>
      <x:c r="C3" s="8"/>
      <x:c r="D3" s="8"/>
    </x:row>
    <x:row r="4">
      <x:c r="A4" s="15" t="str">
        <x:v>Source type</x:v>
      </x:c>
      <x:c r="B4" s="15" t="str">
        <x:v>Description</x:v>
      </x:c>
      <x:c r="C4" s="15" t="str">
        <x:v>As of / period</x:v>
      </x:c>
      <x:c r="D4" s="15" t="str">
        <x:v>URL</x:v>
      </x:c>
    </x:row>
    <x:row r="5" ht="32" customHeight="1">
      <x:c r="A5" s="10" t="str">
        <x:v>SEC company data</x:v>
      </x:c>
      <x:c r="B5" s="10" t="str">
        <x:v>J.B. Hunt Companyfacts API</x:v>
      </x:c>
      <x:c r="C5" s="10" t="str">
        <x:v>FY2021–FY2025</x:v>
      </x:c>
      <x:c r="D5" s="84" t="str">
        <x:v>https://data.sec.gov/api/xbrl/companyfacts/CIK0000728535.json</x:v>
      </x:c>
    </x:row>
    <x:row r="6" ht="32" customHeight="1">
      <x:c r="A6" s="10" t="str">
        <x:v>SEC annual report</x:v>
      </x:c>
      <x:c r="B6" s="10" t="str">
        <x:v>J.B. Hunt 2025 Form 10-K</x:v>
      </x:c>
      <x:c r="C6" s="10" t="str">
        <x:v>Filed February 24, 2026</x:v>
      </x:c>
      <x:c r="D6" s="84" t="str">
        <x:v>https://www.sec.gov/Archives/edgar/data/728535/000143774926005294/jbht20251231_10k.htm</x:v>
      </x:c>
    </x:row>
    <x:row r="7" ht="32" customHeight="1">
      <x:c r="A7" s="10" t="str">
        <x:v>SEC annual report</x:v>
      </x:c>
      <x:c r="B7" s="10" t="str">
        <x:v>J.B. Hunt annual reports archive</x:v>
      </x:c>
      <x:c r="C7" s="10" t="str">
        <x:v>FY2021–FY2025</x:v>
      </x:c>
      <x:c r="D7" s="84" t="str">
        <x:v>https://investor.jbhunt.com/financials/annual-reports</x:v>
      </x:c>
    </x:row>
    <x:row r="8" ht="32" customHeight="1">
      <x:c r="A8" s="10" t="str">
        <x:v>SEC company data</x:v>
      </x:c>
      <x:c r="B8" s="10" t="str">
        <x:v>Old Dominion Companyfacts API</x:v>
      </x:c>
      <x:c r="C8" s="10" t="str">
        <x:v>FY2025</x:v>
      </x:c>
      <x:c r="D8" s="84" t="str">
        <x:v>https://data.sec.gov/api/xbrl/companyfacts/CIK0000878927.json</x:v>
      </x:c>
    </x:row>
    <x:row r="9" ht="32" customHeight="1">
      <x:c r="A9" s="10" t="str">
        <x:v>SEC company data</x:v>
      </x:c>
      <x:c r="B9" s="10" t="str">
        <x:v>C.H. Robinson Companyfacts API</x:v>
      </x:c>
      <x:c r="C9" s="10" t="str">
        <x:v>FY2025</x:v>
      </x:c>
      <x:c r="D9" s="84" t="str">
        <x:v>https://data.sec.gov/api/xbrl/companyfacts/CIK0001043277.json</x:v>
      </x:c>
    </x:row>
    <x:row r="10" ht="32" customHeight="1">
      <x:c r="A10" s="10" t="str">
        <x:v>SEC company data</x:v>
      </x:c>
      <x:c r="B10" s="10" t="str">
        <x:v>Landstar System Companyfacts API</x:v>
      </x:c>
      <x:c r="C10" s="10" t="str">
        <x:v>FY2025</x:v>
      </x:c>
      <x:c r="D10" s="84" t="str">
        <x:v>https://data.sec.gov/api/xbrl/companyfacts/CIK0000853816.json</x:v>
      </x:c>
    </x:row>
    <x:row r="11" ht="32" customHeight="1">
      <x:c r="A11" s="10" t="str">
        <x:v>Market data</x:v>
      </x:c>
      <x:c r="B11" s="10" t="str">
        <x:v>JBHT price $226.07; market cap $21,463.99mm</x:v>
      </x:c>
      <x:c r="C11" s="10" t="str">
        <x:v>September 29, 2026</x:v>
      </x:c>
      <x:c r="D11" s="84" t="str">
        <x:v>Finance quote snapshot</x:v>
      </x:c>
    </x:row>
    <x:row r="12" ht="32" customHeight="1">
      <x:c r="A12" s="10" t="str">
        <x:v>Market data</x:v>
      </x:c>
      <x:c r="B12" s="10" t="str">
        <x:v>ODFL price $176.85; market cap $36,911.25mm</x:v>
      </x:c>
      <x:c r="C12" s="10" t="str">
        <x:v>September 29, 2026</x:v>
      </x:c>
      <x:c r="D12" s="84" t="str">
        <x:v>Finance quote snapshot</x:v>
      </x:c>
    </x:row>
    <x:row r="13" ht="32" customHeight="1">
      <x:c r="A13" s="10" t="str">
        <x:v>Market data</x:v>
      </x:c>
      <x:c r="B13" s="10" t="str">
        <x:v>CHRW price $148.24; market cap $17,751.89mm</x:v>
      </x:c>
      <x:c r="C13" s="10" t="str">
        <x:v>September 29, 2026</x:v>
      </x:c>
      <x:c r="D13" s="84" t="str">
        <x:v>Finance quote snapshot</x:v>
      </x:c>
    </x:row>
    <x:row r="14" ht="32" customHeight="1">
      <x:c r="A14" s="10" t="str">
        <x:v>Market data</x:v>
      </x:c>
      <x:c r="B14" s="10" t="str">
        <x:v>LSTR price $165.41; market cap $5,613.19mm</x:v>
      </x:c>
      <x:c r="C14" s="10" t="str">
        <x:v>September 29, 2026</x:v>
      </x:c>
      <x:c r="D14" s="84" t="str">
        <x:v>Finance quote snapshot</x:v>
      </x:c>
    </x:row>
    <x:row r="15">
      <x:c r="A15" s="8"/>
      <x:c r="B15" s="8"/>
      <x:c r="C15" s="8"/>
      <x:c r="D15" s="8"/>
    </x:row>
    <x:row r="16">
      <x:c r="A16" s="38" t="str">
        <x:v>Method notes</x:v>
      </x:c>
      <x:c r="B16" s="38"/>
      <x:c r="C16" s="8"/>
      <x:c r="D16" s="8"/>
    </x:row>
    <x:row r="17" ht="32" customHeight="1">
      <x:c r="A17" s="10" t="str">
        <x:v>Historical data</x:v>
      </x:c>
      <x:c r="B17" s="10" t="str">
        <x:v>SEC reported facts converted from USD to USD millions; balance-sheet values are fiscal year end and income / cash-flow values are fiscal year flows.</x:v>
      </x:c>
      <x:c r="C17" s="8"/>
      <x:c r="D17" s="8"/>
    </x:row>
    <x:row r="18" ht="32" customHeight="1">
      <x:c r="A18" s="10" t="str">
        <x:v>Forecast period</x:v>
      </x:c>
      <x:c r="B18" s="10" t="str">
        <x:v>2026E–2030E; all operating assumptions are editable on the Assumptions tab.</x:v>
      </x:c>
      <x:c r="C18" s="8"/>
      <x:c r="D18" s="8"/>
    </x:row>
    <x:row r="19" ht="32" customHeight="1">
      <x:c r="A19" s="10" t="str">
        <x:v>DCF</x:v>
      </x:c>
      <x:c r="B19" s="10" t="str">
        <x:v>Unlevered free cash flow; year-end discounting; Gordon growth terminal value; enterprise-to-equity bridge uses FY2025 debt and cash.</x:v>
      </x:c>
      <x:c r="C19" s="8"/>
      <x:c r="D19" s="8"/>
    </x:row>
    <x:row r="20" ht="32" customHeight="1">
      <x:c r="A20" s="10" t="str">
        <x:v>Comps</x:v>
      </x:c>
      <x:c r="B20" s="10" t="str">
        <x:v>FY2025 reported financials and market capitalization / share price observations dated September 29, 2026.</x:v>
      </x:c>
      <x:c r="C20" s="8"/>
      <x:c r="D20" s="8"/>
    </x:row>
    <x:row r="21" ht="32" customHeight="1">
      <x:c r="A21" s="10" t="str">
        <x:v>Limitations</x:v>
      </x:c>
      <x:c r="B21" s="10" t="str">
        <x:v>Forecasts simplify working capital, fixed assets, debt, taxes and share count. They are portfolio estimates, not company guidance.</x:v>
      </x:c>
      <x:c r="C21" s="8"/>
      <x:c r="D21" s="8"/>
    </x:row>
  </x:sheetData>
  <x:pageMargins left="0.7" right="0.7" top="0.75" bottom="0.75" header="0.3" footer="0.3"/>
</x:worksheet>
</file>