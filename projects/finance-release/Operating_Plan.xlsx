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74ee6065e9d4a6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d32d951c362845bb"/>
    <x:sheet xmlns:r="http://schemas.openxmlformats.org/officeDocument/2006/relationships" name="Assumptions" sheetId="2" r:id="R08ce1fd075064a05"/>
    <x:sheet xmlns:r="http://schemas.openxmlformats.org/officeDocument/2006/relationships" name="Detail" sheetId="3" r:id="R62ec5c1b887642bb"/>
    <x:sheet xmlns:r="http://schemas.openxmlformats.org/officeDocument/2006/relationships" name="Monthly" sheetId="4" r:id="Rfe3e2b4a641543ca"/>
    <x:sheet xmlns:r="http://schemas.openxmlformats.org/officeDocument/2006/relationships" name="Variance" sheetId="5" r:id="Rabde0e93cb1f4579"/>
    <x:sheet xmlns:r="http://schemas.openxmlformats.org/officeDocument/2006/relationships" name="Source" sheetId="6" r:id="R1fa2a457998746f1"/>
    <x:sheet xmlns:r="http://schemas.openxmlformats.org/officeDocument/2006/relationships" name="Review" sheetId="7" r:id="R5ecc36d749d74832"/>
    <x:sheet xmlns:r="http://schemas.openxmlformats.org/officeDocument/2006/relationships" name="Actions" sheetId="8" r:id="R6276fa1cddde4117"/>
    <x:sheet xmlns:r="http://schemas.openxmlformats.org/officeDocument/2006/relationships" name="Audit" sheetId="9" r:id="R382e21809cf44a7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.0%"/>
    <x:numFmt numFmtId="201" formatCode="mmm-yy"/>
    <x:numFmt numFmtId="202" formatCode="#,##0;(#,##0);&quot;-&quot;"/>
    <x:numFmt numFmtId="203" formatCode="0.00"/>
    <x:numFmt numFmtId="204" formatCode="$#,##0;($#,##0);&quot;-&quot;"/>
  </x:numFmts>
  <x:fonts count="7">
    <x:font>
      <x:sz val="11"/>
      <x:name val="Carlito"/>
    </x:font>
    <x:font>
      <x:sz val="11"/>
      <x:color rgb="FF172C43"/>
      <x:name val="Arial"/>
    </x:font>
    <x:font>
      <x:b/>
      <x:sz val="16"/>
      <x:color rgb="FF17324D"/>
      <x:name val="Arial"/>
    </x:font>
    <x:font>
      <x:sz val="11"/>
      <x:color rgb="FF0759E6"/>
      <x:name val="Arial"/>
    </x:font>
    <x:font>
      <x:sz val="11"/>
      <x:color rgb="FF111111"/>
      <x:name val="Arial"/>
    </x:font>
    <x:font>
      <x:sz val="11"/>
      <x:color rgb="FF087A55"/>
      <x:name val="Arial"/>
    </x:font>
    <x:font>
      <x:b/>
      <x:sz val="11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8"/>
      </x:patternFill>
    </x:fill>
    <x:fill>
      <x:patternFill patternType="solid">
        <x:fgColor rgb="FF17324D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9BAFC4"/>
      </x:bottom>
      <x:diagonal/>
    </x:border>
  </x:borders>
  <x:cellStyleXfs count="1">
    <x:xf numFmtId="0" fontId="0" fillId="0" borderId="0"/>
  </x:cellStyleXfs>
  <x:cellXfs count="38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1" xfId="0" applyNumberFormat="1" applyFont="1" applyFill="1" applyBorder="1"/>
    <x:xf numFmtId="0" fontId="3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0" fontId="5" fillId="0" borderId="0" xfId="0" applyNumberFormat="1" applyFont="1" applyFill="1" applyBorder="1"/>
    <x:xf numFmtId="200" fontId="4" fillId="0" borderId="0" xfId="0" applyNumberFormat="1" applyFont="1" applyFill="1" applyBorder="1"/>
    <x:xf numFmtId="200" fontId="3" fillId="0" borderId="0" xfId="0" applyNumberFormat="1" applyFont="1" applyFill="1" applyBorder="1"/>
    <x:xf numFmtId="0" fontId="1" fillId="2" borderId="0" xfId="0" applyNumberFormat="1" applyFont="1" applyFill="1" applyBorder="1"/>
    <x:xf numFmtId="200" fontId="4" fillId="2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6" fillId="3" borderId="0" xfId="0" applyNumberFormat="1" applyFont="1" applyFill="1" applyBorder="1" applyAlignment="1">
      <x:alignment wrapText="1"/>
    </x:xf>
    <x:xf numFmtId="0" fontId="6" fillId="3" borderId="0" xfId="0" applyNumberFormat="1" applyFont="1" applyFill="1" applyBorder="1" applyAlignment="1">
      <x:alignment horizontal="center" wrapText="1"/>
    </x:xf>
    <x:xf numFmtId="0" fontId="3" fillId="0" borderId="0" xfId="0" applyNumberFormat="1" applyFont="1" applyFill="1" applyBorder="1" applyAlignment="1">
      <x:alignment wrapText="1"/>
    </x:xf>
    <x:xf numFmtId="201" fontId="1" fillId="0" borderId="0" xfId="0" applyNumberFormat="1" applyFont="1" applyFill="1" applyBorder="1" applyAlignment="1">
      <x:alignment wrapText="1"/>
    </x:xf>
    <x:xf numFmtId="202" fontId="1" fillId="0" borderId="0" xfId="0" applyNumberFormat="1" applyFont="1" applyFill="1" applyBorder="1" applyAlignment="1">
      <x:alignment wrapText="1"/>
    </x:xf>
    <x:xf numFmtId="203" fontId="1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1" fontId="1" fillId="0" borderId="0" xfId="0" applyNumberFormat="1" applyFont="1" applyFill="1" applyBorder="1"/>
    <x:xf numFmtId="204" fontId="1" fillId="0" borderId="0" xfId="0" applyNumberFormat="1" applyFont="1" applyFill="1" applyBorder="1"/>
    <x:xf numFmtId="202" fontId="1" fillId="0" borderId="0" xfId="0" applyNumberFormat="1" applyFont="1" applyFill="1" applyBorder="1"/>
    <x:xf numFmtId="203" fontId="1" fillId="0" borderId="0" xfId="0" applyNumberFormat="1" applyFont="1" applyFill="1" applyBorder="1"/>
    <x:xf numFmtId="204" fontId="3" fillId="0" borderId="0" xfId="0" applyNumberFormat="1" applyFont="1" applyFill="1" applyBorder="1"/>
    <x:xf numFmtId="202" fontId="5" fillId="0" borderId="0" xfId="0" applyNumberFormat="1" applyFont="1" applyFill="1" applyBorder="1"/>
    <x:xf numFmtId="203" fontId="5" fillId="0" borderId="0" xfId="0" applyNumberFormat="1" applyFont="1" applyFill="1" applyBorder="1"/>
    <x:xf numFmtId="204" fontId="5" fillId="0" borderId="0" xfId="0" applyNumberFormat="1" applyFont="1" applyFill="1" applyBorder="1"/>
    <x:xf numFmtId="204" fontId="4" fillId="0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wrapText="1"/>
    </x:xf>
    <x:xf numFmtId="204" fontId="5" fillId="0" borderId="0" xfId="0" applyNumberFormat="1" applyFont="1" applyFill="1" applyBorder="1" applyAlignment="1">
      <x:alignment wrapText="1"/>
    </x:xf>
    <x:xf numFmtId="204" fontId="4" fillId="0" borderId="0" xfId="0" applyNumberFormat="1" applyFont="1" applyFill="1" applyBorder="1" applyAlignment="1">
      <x:alignment wrapText="1"/>
    </x:xf>
    <x:xf numFmtId="200" fontId="4" fillId="0" borderId="0" xfId="0" applyNumberFormat="1" applyFont="1" applyFill="1" applyBorder="1" applyAlignment="1">
      <x:alignment wrapText="1"/>
    </x:xf>
    <x:xf numFmtId="204" fontId="3" fillId="0" borderId="0" xfId="0" applyNumberFormat="1" applyFont="1" applyFill="1" applyBorder="1" applyAlignment="1">
      <x:alignment wrapText="1"/>
    </x:xf>
    <x:xf numFmtId="204" fontId="1" fillId="0" borderId="0" xfId="0" applyNumberFormat="1" applyFont="1" applyFill="1" applyBorder="1" applyAlignment="1">
      <x:alignment wrapText="1"/>
    </x:xf>
    <x:xf numFmtId="200" fontId="1" fillId="0" borderId="0" xfId="0" applyNumberFormat="1" applyFont="1" applyFill="1" applyBorder="1" applyAlignment="1">
      <x:alignment wrapText="1"/>
    </x:xf>
    <x:xf numFmtId="203" fontId="5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ont>
        <x:b/>
        <x:color rgb="FFB91C1C"/>
      </x:font>
      <x:fill>
        <x:patternFill patternType="solid"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5339f0017694cda" /><Relationship Type="http://schemas.openxmlformats.org/officeDocument/2006/relationships/theme" Target="/xl/theme/theme1.xml" Id="Re24138f0e03f41d7" /><Relationship Type="http://schemas.openxmlformats.org/officeDocument/2006/relationships/sharedStrings" Target="/xl/sharedStrings.xml" Id="R03490531719a4ff4" /><Relationship Type="http://schemas.openxmlformats.org/officeDocument/2006/relationships/worksheet" Target="/xl/worksheets/sheet1.xml" Id="Rd32d951c362845bb" /><Relationship Type="http://schemas.openxmlformats.org/officeDocument/2006/relationships/worksheet" Target="/xl/worksheets/sheet2.xml" Id="R08ce1fd075064a05" /><Relationship Type="http://schemas.openxmlformats.org/officeDocument/2006/relationships/worksheet" Target="/xl/worksheets/sheet3.xml" Id="R62ec5c1b887642bb" /><Relationship Type="http://schemas.openxmlformats.org/officeDocument/2006/relationships/worksheet" Target="/xl/worksheets/sheet4.xml" Id="Rfe3e2b4a641543ca" /><Relationship Type="http://schemas.openxmlformats.org/officeDocument/2006/relationships/worksheet" Target="/xl/worksheets/sheet5.xml" Id="Rabde0e93cb1f4579" /><Relationship Type="http://schemas.openxmlformats.org/officeDocument/2006/relationships/worksheet" Target="/xl/worksheets/sheet6.xml" Id="R1fa2a457998746f1" /><Relationship Type="http://schemas.openxmlformats.org/officeDocument/2006/relationships/worksheet" Target="/xl/worksheets/sheet7.xml" Id="R5ecc36d749d74832" /><Relationship Type="http://schemas.openxmlformats.org/officeDocument/2006/relationships/worksheet" Target="/xl/worksheets/sheet8.xml" Id="R6276fa1cddde4117" /><Relationship Type="http://schemas.openxmlformats.org/officeDocument/2006/relationships/worksheet" Target="/xl/worksheets/sheet9.xml" Id="R382e21809cf44a7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4fc1b6a68f6402c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050">
                <a:latin typeface="Arial"/>
                <a:ea typeface="Arial"/>
                <a:cs typeface="Arial"/>
              </a:rPr>
              <a:t>Monthly revenue and EBITDA (USD)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50">
              <a:latin typeface="Arial"/>
              <a:ea typeface="Arial"/>
              <a:cs typeface="Arial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Revenue</c:v>
          </c:tx>
          <c:spPr>
            <a:solidFill xmlns:a="http://schemas.openxmlformats.org/drawingml/2006/main">
              <a:srgbClr val="17324D"/>
            </a:solidFill>
            <a:ln xmlns:a="http://schemas.openxmlformats.org/drawingml/2006/main" w="19050">
              <a:solidFill>
                <a:srgbClr val="17324D"/>
              </a:solidFill>
              <a:prstDash val="solid"/>
            </a:ln>
          </c:spPr>
          <c:marker>
            <c:symbol val="none"/>
          </c:marker>
          <c:cat>
            <c:strRef>
              <c:f>'Summary'!$C$17:$C$28</c:f>
              <c:strCache>
                <c:ptCount val="0"/>
              </c:strCache>
            </c:strRef>
          </c:cat>
          <c:val>
            <c:numRef>
              <c:f>'Summary'!$D$17:$D$28</c:f>
              <c:numCache>
                <c:formatCode>$#,##0;($#,##0);"-"</c:formatCode>
                <c:ptCount val="0"/>
              </c:numCache>
            </c:numRef>
          </c:val>
          <c:smooth val="0"/>
        </c:ser>
        <c:ser>
          <c:idx val="1"/>
          <c:order val="1"/>
          <c:tx>
            <c:v>EBITDA</c:v>
          </c:tx>
          <c:spPr>
            <a:solidFill xmlns:a="http://schemas.openxmlformats.org/drawingml/2006/main">
              <a:srgbClr val="15A6AC"/>
            </a:solidFill>
            <a:ln xmlns:a="http://schemas.openxmlformats.org/drawingml/2006/main" w="19050">
              <a:solidFill>
                <a:srgbClr val="15A6AC"/>
              </a:solidFill>
              <a:prstDash val="solid"/>
            </a:ln>
          </c:spPr>
          <c:marker>
            <c:symbol val="none"/>
          </c:marker>
          <c:cat>
            <c:strRef>
              <c:f>'Summary'!$C$17:$C$28</c:f>
              <c:strCache>
                <c:ptCount val="0"/>
              </c:strCache>
            </c:strRef>
          </c:cat>
          <c:val>
            <c:numRef>
              <c:f>'Summary'!$E$17:$E$28</c:f>
              <c:numCache>
                <c:formatCode>$#,##0;($#,##0);"-"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$0.0,,&quot;M&quot;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7</xdr:row>
      <xdr:rowOff>0</xdr:rowOff>
    </xdr:from>
    <xdr:to>
      <xdr:col>15</xdr:col>
      <xdr:colOff>0</xdr:colOff>
      <xdr:row>23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4fc1b6a68f6402c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450dd81e70f4c5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" hidden="0" customWidth="1"/>
    <x:col min="2" max="2" width="3" hidden="0" customWidth="1"/>
    <x:col min="3" max="3" width="42" hidden="0" customWidth="1"/>
    <x:col min="4" max="4" width="17" hidden="0" customWidth="1"/>
    <x:col min="5" max="5" width="22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  <x:col min="14" max="14" width="17" hidden="0" customWidth="1"/>
    <x:col min="15" max="15" width="17" hidden="0" customWidth="1"/>
  </x:cols>
  <x:sheetData>
    <x:row r="1" ht="22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</x:row>
    <x:row r="2" ht="22" customHeight="1">
      <x:c r="A2" s="1"/>
      <x:c r="B2" s="1"/>
      <x:c r="C2" s="2" t="str">
        <x:v>Transportation operating plan (2026)</x:v>
      </x:c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</x:row>
    <x:row r="3" ht="22" customHeight="1">
      <x:c r="A3" s="1"/>
      <x:c r="B3" s="1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3"/>
      <x:c r="O3" s="3"/>
    </x:row>
    <x:row r="4" ht="22" customHeight="1">
      <x:c r="A4" s="1"/>
      <x:c r="B4" s="1"/>
      <x:c r="C4" s="1" t="str">
        <x:v>Case selected</x:v>
      </x:c>
      <x:c r="D4" s="7" t="str">
        <x:f>'Assumptions'!D4</x:f>
        <x:v>Base</x:v>
      </x:c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</x:row>
    <x:row r="5" ht="22" customHeight="1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</x:row>
    <x:row r="6" ht="15" hidden="0" customHeight="1">
      <x:c r="A6" s="1"/>
      <x:c r="B6" s="1"/>
      <x:c r="C6" s="14" t="str">
        <x:v>Metric</x:v>
      </x:c>
      <x:c r="D6" s="14" t="str">
        <x:v>Value</x:v>
      </x:c>
      <x:c r="E6" s="14" t="str">
        <x:v>Period / basis</x:v>
      </x:c>
      <x:c r="F6" s="1"/>
      <x:c r="G6" s="1"/>
      <x:c r="H6" s="1"/>
      <x:c r="I6" s="1"/>
      <x:c r="J6" s="1"/>
      <x:c r="K6" s="1"/>
      <x:c r="L6" s="1"/>
      <x:c r="M6" s="1"/>
      <x:c r="N6" s="1"/>
      <x:c r="O6" s="1"/>
    </x:row>
    <x:row r="7" ht="15" hidden="0" customHeight="1">
      <x:c r="A7" s="1"/>
      <x:c r="B7" s="1"/>
      <x:c r="C7" s="5" t="str">
        <x:v>Revenue</x:v>
      </x:c>
      <x:c r="D7" s="35" t="n">
        <x:f>SUM('Monthly'!D7:O7)</x:f>
        <x:v>11308100.495757783</x:v>
      </x:c>
      <x:c r="E7" s="5" t="str">
        <x:v>Full year</x:v>
      </x:c>
      <x:c r="F7" s="1"/>
      <x:c r="G7" s="1"/>
      <x:c r="H7" s="1"/>
      <x:c r="I7" s="1"/>
      <x:c r="J7" s="1"/>
      <x:c r="K7" s="1"/>
      <x:c r="L7" s="1"/>
      <x:c r="M7" s="1"/>
      <x:c r="N7" s="1"/>
      <x:c r="O7" s="1"/>
    </x:row>
    <x:row r="8" ht="15" hidden="0" customHeight="1">
      <x:c r="A8" s="1"/>
      <x:c r="B8" s="1"/>
      <x:c r="C8" s="5" t="str">
        <x:v>EBITDA</x:v>
      </x:c>
      <x:c r="D8" s="35" t="n">
        <x:f>SUM('Monthly'!D11:O11)</x:f>
        <x:v>124447.47550231018</x:v>
      </x:c>
      <x:c r="E8" s="5" t="str">
        <x:v>Full year</x:v>
      </x:c>
      <x:c r="F8" s="1"/>
      <x:c r="G8" s="1"/>
      <x:c r="H8" s="1"/>
      <x:c r="I8" s="1"/>
      <x:c r="J8" s="1"/>
      <x:c r="K8" s="1"/>
      <x:c r="L8" s="1"/>
      <x:c r="M8" s="1"/>
      <x:c r="N8" s="1"/>
      <x:c r="O8" s="1"/>
    </x:row>
    <x:row r="9" ht="15" hidden="0" customHeight="1">
      <x:c r="A9" s="1"/>
      <x:c r="B9" s="1"/>
      <x:c r="C9" s="5" t="str">
        <x:v>EBITDA margin</x:v>
      </x:c>
      <x:c r="D9" s="36" t="n">
        <x:f>D8/D7</x:f>
        <x:v>0.011005161790788512</x:v>
      </x:c>
      <x:c r="E9" s="5" t="str">
        <x:v>Full year</x:v>
      </x:c>
      <x:c r="F9" s="1"/>
      <x:c r="G9" s="1"/>
      <x:c r="H9" s="1"/>
      <x:c r="I9" s="1"/>
      <x:c r="J9" s="1"/>
      <x:c r="K9" s="1"/>
      <x:c r="L9" s="1"/>
      <x:c r="M9" s="1"/>
      <x:c r="N9" s="1"/>
      <x:c r="O9" s="1"/>
    </x:row>
    <x:row r="10" ht="15" hidden="0" customHeight="1">
      <x:c r="A10" s="1"/>
      <x:c r="B10" s="1"/>
      <x:c r="C10" s="5" t="str">
        <x:v>Ending cash</x:v>
      </x:c>
      <x:c r="D10" s="35" t="n">
        <x:f>'Monthly'!O22</x:f>
        <x:v>282038.2316548526</x:v>
      </x:c>
      <x:c r="E10" s="5" t="str">
        <x:v>December</x:v>
      </x:c>
      <x:c r="F10" s="1"/>
      <x:c r="G10" s="1"/>
      <x:c r="H10" s="1"/>
      <x:c r="I10" s="1"/>
      <x:c r="J10" s="1"/>
      <x:c r="K10" s="1"/>
      <x:c r="L10" s="1"/>
      <x:c r="M10" s="1"/>
      <x:c r="N10" s="1"/>
      <x:c r="O10" s="1"/>
    </x:row>
    <x:row r="11" ht="15" hidden="0" customHeight="1">
      <x:c r="A11" s="1"/>
      <x:c r="B11" s="1"/>
      <x:c r="C11" s="5" t="str">
        <x:v>Lowest cash</x:v>
      </x:c>
      <x:c r="D11" s="35" t="n">
        <x:f>MIN('Monthly'!J22:O22)</x:f>
        <x:v>282038.2316548526</x:v>
      </x:c>
      <x:c r="E11" s="5" t="str">
        <x:v>Jul-Dec</x:v>
      </x:c>
      <x:c r="F11" s="1"/>
      <x:c r="G11" s="1"/>
      <x:c r="H11" s="1"/>
      <x:c r="I11" s="1"/>
      <x:c r="J11" s="1"/>
      <x:c r="K11" s="1"/>
      <x:c r="L11" s="1"/>
      <x:c r="M11" s="1"/>
      <x:c r="N11" s="1"/>
      <x:c r="O11" s="1"/>
    </x:row>
    <x:row r="12" ht="22" customHeight="1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</x:row>
    <x:row r="13" ht="22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</x:row>
    <x:row r="14" ht="22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</x:row>
    <x:row r="15" ht="22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</x:row>
    <x:row r="16" ht="15" hidden="0" customHeight="1">
      <x:c r="A16" s="1"/>
      <x:c r="B16" s="1"/>
      <x:c r="C16" s="14" t="str">
        <x:v>Month</x:v>
      </x:c>
      <x:c r="D16" s="14" t="str">
        <x:v>Revenue</x:v>
      </x:c>
      <x:c r="E16" s="14" t="str">
        <x:v>EBITDA</x:v>
      </x:c>
      <x:c r="F16" s="1"/>
      <x:c r="G16" s="1"/>
      <x:c r="H16" s="1"/>
      <x:c r="I16" s="1"/>
      <x:c r="J16" s="1"/>
      <x:c r="K16" s="1"/>
      <x:c r="L16" s="1"/>
      <x:c r="M16" s="1"/>
      <x:c r="N16" s="1"/>
      <x:c r="O16" s="1"/>
    </x:row>
    <x:row r="17" ht="15" hidden="0" customHeight="1">
      <x:c r="A17" s="1"/>
      <x:c r="B17" s="1"/>
      <x:c r="C17" s="5" t="str">
        <x:v>Jan</x:v>
      </x:c>
      <x:c r="D17" s="35" t="n">
        <x:f>'Monthly'!D7</x:f>
        <x:v>791671.1200000001</x:v>
      </x:c>
      <x:c r="E17" s="35" t="n">
        <x:f>'Monthly'!D11</x:f>
        <x:v>-37060.74999999997</x:v>
      </x:c>
      <x:c r="F17" s="1"/>
      <x:c r="G17" s="1"/>
      <x:c r="H17" s="1"/>
      <x:c r="I17" s="1"/>
      <x:c r="J17" s="1"/>
      <x:c r="K17" s="1"/>
      <x:c r="L17" s="1"/>
      <x:c r="M17" s="1"/>
      <x:c r="N17" s="1"/>
      <x:c r="O17" s="1"/>
    </x:row>
    <x:row r="18" ht="15" hidden="0" customHeight="1">
      <x:c r="A18" s="1"/>
      <x:c r="B18" s="1"/>
      <x:c r="C18" s="5" t="str">
        <x:v>Feb</x:v>
      </x:c>
      <x:c r="D18" s="35" t="n">
        <x:f>'Monthly'!E7</x:f>
        <x:v>780722.73</x:v>
      </x:c>
      <x:c r="E18" s="35" t="n">
        <x:f>'Monthly'!E11</x:f>
        <x:v>-42914.73999999993</x:v>
      </x:c>
      <x:c r="F18" s="1"/>
      <x:c r="G18" s="1"/>
      <x:c r="H18" s="1"/>
      <x:c r="I18" s="1"/>
      <x:c r="J18" s="1"/>
      <x:c r="K18" s="1"/>
      <x:c r="L18" s="1"/>
      <x:c r="M18" s="1"/>
      <x:c r="N18" s="1"/>
      <x:c r="O18" s="1"/>
    </x:row>
    <x:row r="19" ht="15" hidden="0" customHeight="1">
      <x:c r="A19" s="1"/>
      <x:c r="B19" s="1"/>
      <x:c r="C19" s="5" t="str">
        <x:v>Mar</x:v>
      </x:c>
      <x:c r="D19" s="35" t="n">
        <x:f>'Monthly'!F7</x:f>
        <x:v>854894</x:v>
      </x:c>
      <x:c r="E19" s="35" t="n">
        <x:f>'Monthly'!F11</x:f>
        <x:v>-9607.620000000112</x:v>
      </x:c>
      <x:c r="F19" s="1"/>
      <x:c r="G19" s="1"/>
      <x:c r="H19" s="1"/>
      <x:c r="I19" s="1"/>
      <x:c r="J19" s="1"/>
      <x:c r="K19" s="1"/>
      <x:c r="L19" s="1"/>
      <x:c r="M19" s="1"/>
      <x:c r="N19" s="1"/>
      <x:c r="O19" s="1"/>
    </x:row>
    <x:row r="20" ht="15" hidden="0" customHeight="1">
      <x:c r="A20" s="1"/>
      <x:c r="B20" s="1"/>
      <x:c r="C20" s="5" t="str">
        <x:v>Apr</x:v>
      </x:c>
      <x:c r="D20" s="35" t="n">
        <x:f>'Monthly'!G7</x:f>
        <x:v>844013.8799999999</x:v>
      </x:c>
      <x:c r="E20" s="35" t="n">
        <x:f>'Monthly'!G11</x:f>
        <x:v>-15432.100000000006</x:v>
      </x:c>
      <x:c r="F20" s="1"/>
      <x:c r="G20" s="1"/>
      <x:c r="H20" s="1"/>
      <x:c r="I20" s="1"/>
      <x:c r="J20" s="1"/>
      <x:c r="K20" s="1"/>
      <x:c r="L20" s="1"/>
      <x:c r="M20" s="1"/>
      <x:c r="N20" s="1"/>
      <x:c r="O20" s="1"/>
    </x:row>
    <x:row r="21" ht="15" hidden="0" customHeight="1">
      <x:c r="A21" s="1"/>
      <x:c r="B21" s="1"/>
      <x:c r="C21" s="5" t="str">
        <x:v>May</x:v>
      </x:c>
      <x:c r="D21" s="35" t="n">
        <x:f>'Monthly'!H7</x:f>
        <x:v>885603.54</x:v>
      </x:c>
      <x:c r="E21" s="35" t="n">
        <x:f>'Monthly'!H11</x:f>
        <x:v>2850.1600000000035</x:v>
      </x:c>
      <x:c r="F21" s="1"/>
      <x:c r="G21" s="1"/>
      <x:c r="H21" s="1"/>
      <x:c r="I21" s="1"/>
      <x:c r="J21" s="1"/>
      <x:c r="K21" s="1"/>
      <x:c r="L21" s="1"/>
      <x:c r="M21" s="1"/>
      <x:c r="N21" s="1"/>
      <x:c r="O21" s="1"/>
    </x:row>
    <x:row r="22" ht="15" hidden="0" customHeight="1">
      <x:c r="A22" s="1"/>
      <x:c r="B22" s="1"/>
      <x:c r="C22" s="5" t="str">
        <x:v>Jun</x:v>
      </x:c>
      <x:c r="D22" s="35" t="n">
        <x:f>'Monthly'!I7</x:f>
        <x:v>874714.5199999999</x:v>
      </x:c>
      <x:c r="E22" s="35" t="n">
        <x:f>'Monthly'!I11</x:f>
        <x:v>-3001.660000000091</x:v>
      </x:c>
      <x:c r="F22" s="1"/>
      <x:c r="G22" s="1"/>
      <x:c r="H22" s="1"/>
      <x:c r="I22" s="1"/>
      <x:c r="J22" s="1"/>
      <x:c r="K22" s="1"/>
      <x:c r="L22" s="1"/>
      <x:c r="M22" s="1"/>
      <x:c r="N22" s="1"/>
      <x:c r="O22" s="1"/>
    </x:row>
    <x:row r="23" ht="15" hidden="0" customHeight="1">
      <x:c r="A23" s="1"/>
      <x:c r="B23" s="1"/>
      <x:c r="C23" s="5" t="str">
        <x:v>Jul</x:v>
      </x:c>
      <x:c r="D23" s="35" t="n">
        <x:f>'Monthly'!J7</x:f>
        <x:v>910447.8928</x:v>
      </x:c>
      <x:c r="E23" s="35" t="n">
        <x:f>'Monthly'!J11</x:f>
        <x:v>3667.364050000062</x:v>
      </x:c>
      <x:c r="F23" s="1"/>
      <x:c r="G23" s="1"/>
      <x:c r="H23" s="1"/>
      <x:c r="I23" s="1"/>
      <x:c r="J23" s="1"/>
      <x:c r="K23" s="1"/>
      <x:c r="L23" s="1"/>
      <x:c r="M23" s="1"/>
      <x:c r="N23" s="1"/>
      <x:c r="O23" s="1"/>
    </x:row>
    <x:row r="24" ht="15" hidden="0" customHeight="1">
      <x:c r="A24" s="1"/>
      <x:c r="B24" s="1"/>
      <x:c r="C24" s="5" t="str">
        <x:v>Aug</x:v>
      </x:c>
      <x:c r="D24" s="35" t="n">
        <x:f>'Monthly'!K7</x:f>
        <x:v>965634.71293132</x:v>
      </x:c>
      <x:c r="E24" s="35" t="n">
        <x:f>'Monthly'!K11</x:f>
        <x:v>18703.305668819987</x:v>
      </x:c>
      <x:c r="F24" s="1"/>
      <x:c r="G24" s="1"/>
      <x:c r="H24" s="1"/>
      <x:c r="I24" s="1"/>
      <x:c r="J24" s="1"/>
      <x:c r="K24" s="1"/>
      <x:c r="L24" s="1"/>
      <x:c r="M24" s="1"/>
      <x:c r="N24" s="1"/>
      <x:c r="O24" s="1"/>
    </x:row>
    <x:row r="25" ht="15" hidden="0" customHeight="1">
      <x:c r="A25" s="1"/>
      <x:c r="B25" s="1"/>
      <x:c r="C25" s="5" t="str">
        <x:v>Sep</x:v>
      </x:c>
      <x:c r="D25" s="35" t="n">
        <x:f>'Monthly'!L7</x:f>
        <x:v>965846.2469509438</x:v>
      </x:c>
      <x:c r="E25" s="35" t="n">
        <x:f>'Monthly'!L11</x:f>
        <x:v>8550.427446801477</x:v>
      </x:c>
      <x:c r="F25" s="1"/>
      <x:c r="G25" s="1"/>
      <x:c r="H25" s="5" t="str">
        <x:v>Review price realization, volume, and cost inflation together.</x:v>
      </x:c>
      <x:c r="I25" s="5"/>
      <x:c r="J25" s="5"/>
      <x:c r="K25" s="5"/>
      <x:c r="L25" s="5"/>
      <x:c r="M25" s="5"/>
      <x:c r="N25" s="5"/>
      <x:c r="O25" s="5"/>
    </x:row>
    <x:row r="26" ht="15" hidden="0" customHeight="1">
      <x:c r="A26" s="1"/>
      <x:c r="B26" s="1"/>
      <x:c r="C26" s="5" t="str">
        <x:v>Oct</x:v>
      </x:c>
      <x:c r="D26" s="35" t="n">
        <x:f>'Monthly'!M7</x:f>
        <x:v>1063956.4777685371</x:v>
      </x:c>
      <x:c r="E26" s="35" t="n">
        <x:f>'Monthly'!M11</x:f>
        <x:v>41775.28110011376</x:v>
      </x:c>
      <x:c r="F26" s="1"/>
      <x:c r="G26" s="1"/>
      <x:c r="H26" s="5"/>
      <x:c r="I26" s="5"/>
      <x:c r="J26" s="5"/>
      <x:c r="K26" s="5"/>
      <x:c r="L26" s="5"/>
      <x:c r="M26" s="5"/>
      <x:c r="N26" s="5"/>
      <x:c r="O26" s="5"/>
    </x:row>
    <x:row r="27" ht="15" hidden="0" customHeight="1">
      <x:c r="A27" s="1"/>
      <x:c r="B27" s="1"/>
      <x:c r="C27" s="5" t="str">
        <x:v>Nov</x:v>
      </x:c>
      <x:c r="D27" s="35" t="n">
        <x:f>'Monthly'!N7</x:f>
        <x:v>1146725.4969682184</x:v>
      </x:c>
      <x:c r="E27" s="35" t="n">
        <x:f>'Monthly'!N11</x:f>
        <x:v>67306.19943047158</x:v>
      </x:c>
      <x:c r="F27" s="1"/>
      <x:c r="G27" s="1"/>
      <x:c r="H27" s="5" t="str">
        <x:v>Synthetic case. Cash forecast excludes debt and financing.</x:v>
      </x:c>
      <x:c r="I27" s="5"/>
      <x:c r="J27" s="5"/>
      <x:c r="K27" s="5"/>
      <x:c r="L27" s="5"/>
      <x:c r="M27" s="5"/>
      <x:c r="N27" s="5"/>
      <x:c r="O27" s="5"/>
    </x:row>
    <x:row r="28" ht="15" hidden="0" customHeight="1">
      <x:c r="A28" s="1"/>
      <x:c r="B28" s="1"/>
      <x:c r="C28" s="5" t="str">
        <x:v>Dec</x:v>
      </x:c>
      <x:c r="D28" s="35" t="n">
        <x:f>'Monthly'!O7</x:f>
        <x:v>1223869.8783387616</x:v>
      </x:c>
      <x:c r="E28" s="35" t="n">
        <x:f>'Monthly'!O11</x:f>
        <x:v>89611.60780610342</x:v>
      </x:c>
      <x:c r="F28" s="1"/>
      <x:c r="G28" s="1"/>
      <x:c r="H28" s="5"/>
      <x:c r="I28" s="5"/>
      <x:c r="J28" s="5"/>
      <x:c r="K28" s="5"/>
      <x:c r="L28" s="5"/>
      <x:c r="M28" s="5"/>
      <x:c r="N28" s="5"/>
      <x:c r="O28" s="5"/>
    </x:row>
    <x:row r="29" ht="22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</x:row>
    <x:row r="30" ht="22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</x:row>
    <x:row r="31" ht="22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</x:row>
    <x:row r="32" ht="22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</x:row>
    <x:row r="33" ht="22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</x:row>
    <x:row r="34" ht="22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</x:row>
    <x:row r="35" ht="22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</x:row>
    <x:row r="36" ht="22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</x:row>
    <x:row r="37" ht="22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</x:row>
    <x:row r="38" ht="22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</x:row>
    <x:row r="39" ht="22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</x:row>
    <x:row r="40" ht="22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</x:row>
    <x:row r="41" ht="22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</x:row>
    <x:row r="42" ht="22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</x:row>
    <x:row r="43" ht="22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</x:row>
    <x:row r="44" ht="22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</x:row>
    <x:row r="45" ht="22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</x:row>
    <x:row r="46" ht="22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</x:row>
    <x:row r="47" ht="22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</x:row>
    <x:row r="48" ht="22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</x:row>
    <x:row r="49" ht="22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</x:row>
    <x:row r="50" ht="22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</x:row>
    <x:row r="51" ht="22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</x:row>
    <x:row r="52" ht="22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</x:row>
    <x:row r="53" ht="22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</x:row>
    <x:row r="54" ht="22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</x:row>
    <x:row r="55" ht="22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</x:row>
    <x:row r="56" ht="22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</x:row>
    <x:row r="57" ht="22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</x:row>
    <x:row r="58" ht="22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</x:row>
    <x:row r="59" ht="22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</x:row>
    <x:row r="60" ht="22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</x:row>
    <x:row r="61" ht="22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</x:row>
    <x:row r="62" ht="22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</x:row>
    <x:row r="63" ht="22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</x:row>
    <x:row r="64" ht="22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</x:row>
    <x:row r="65" ht="22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</x:row>
  </x:sheetData>
  <x:mergeCells>
    <x:mergeCell ref="D4:F4"/>
    <x:mergeCell ref="H25:O26"/>
    <x:mergeCell ref="H27:O28"/>
  </x:mergeCells>
  <x:pageMargins left="0.7" right="0.7" top="0.75" bottom="0.75" header="0.3" footer="0.3"/>
  <x:drawing xmlns:r="http://schemas.openxmlformats.org/officeDocument/2006/relationships" r:id="R2450dd81e70f4c54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" hidden="0" customWidth="1"/>
    <x:col min="2" max="2" width="3" hidden="0" customWidth="1"/>
    <x:col min="3" max="3" width="42" hidden="0" customWidth="1"/>
    <x:col min="4" max="4" width="17" hidden="0" customWidth="1"/>
    <x:col min="5" max="5" width="17" hidden="0" customWidth="1"/>
    <x:col min="6" max="6" width="23" hidden="0" customWidth="1"/>
    <x:col min="7" max="7" width="23" hidden="0" customWidth="1"/>
    <x:col min="8" max="8" width="23" hidden="0" customWidth="1"/>
    <x:col min="9" max="9" width="23" hidden="0" customWidth="1"/>
    <x:col min="10" max="10" width="17" hidden="0" customWidth="1"/>
    <x:col min="11" max="11" width="17" hidden="0" customWidth="1"/>
    <x:col min="12" max="12" width="17" hidden="0" customWidth="1"/>
  </x:cols>
  <x:sheetData>
    <x:row r="1" ht="22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</x:row>
    <x:row r="2" ht="22" customHeight="1">
      <x:c r="A2" s="1"/>
      <x:c r="B2" s="1"/>
      <x:c r="C2" s="2" t="str">
        <x:v>Operating assumptions</x:v>
      </x:c>
      <x:c r="D2" s="1"/>
      <x:c r="E2" s="1"/>
      <x:c r="F2" s="1"/>
      <x:c r="G2" s="1"/>
      <x:c r="H2" s="1"/>
      <x:c r="I2" s="1"/>
      <x:c r="J2" s="1"/>
      <x:c r="K2" s="1"/>
      <x:c r="L2" s="1"/>
    </x:row>
    <x:row r="3" ht="22" customHeight="1">
      <x:c r="A3" s="1"/>
      <x:c r="B3" s="1"/>
      <x:c r="C3" s="3"/>
      <x:c r="D3" s="3"/>
      <x:c r="E3" s="3"/>
      <x:c r="F3" s="3"/>
      <x:c r="G3" s="3"/>
      <x:c r="H3" s="3"/>
      <x:c r="I3" s="3"/>
      <x:c r="J3" s="3"/>
      <x:c r="K3" s="3"/>
      <x:c r="L3" s="3"/>
    </x:row>
    <x:row r="4" ht="22" customHeight="1">
      <x:c r="A4" s="1"/>
      <x:c r="B4" s="1"/>
      <x:c r="C4" s="1"/>
      <x:c r="D4" s="6" t="str">
        <x:f>CHOOSE(D5,"Base","Downside","Upside")</x:f>
        <x:v>Base</x:v>
      </x:c>
      <x:c r="E4" s="1"/>
      <x:c r="F4" s="1"/>
      <x:c r="G4" s="1"/>
      <x:c r="H4" s="1"/>
      <x:c r="I4" s="1"/>
      <x:c r="J4" s="1"/>
      <x:c r="K4" s="1"/>
      <x:c r="L4" s="1"/>
    </x:row>
    <x:row r="5" ht="22" customHeight="1">
      <x:c r="A5" s="1"/>
      <x:c r="B5" s="1"/>
      <x:c r="C5" s="1" t="str">
        <x:v>Case selected</x:v>
      </x:c>
      <x:c r="D5" s="4" t="n">
        <x:v>1</x:v>
      </x:c>
      <x:c r="E5" s="1"/>
      <x:c r="F5" s="5" t="str">
        <x:v>1 Base / 2 Downside / 3 Upside</x:v>
      </x:c>
      <x:c r="G5" s="5"/>
      <x:c r="H5" s="5"/>
      <x:c r="I5" s="5"/>
      <x:c r="J5" s="5"/>
      <x:c r="K5" s="5"/>
      <x:c r="L5" s="1"/>
    </x:row>
    <x:row r="6" ht="22" customHeight="1">
      <x:c r="A6" s="1"/>
      <x:c r="B6" s="1"/>
      <x:c r="C6" s="1"/>
      <x:c r="D6" s="1"/>
      <x:c r="E6" s="1"/>
      <x:c r="F6" s="5"/>
      <x:c r="G6" s="5"/>
      <x:c r="H6" s="5"/>
      <x:c r="I6" s="5"/>
      <x:c r="J6" s="5"/>
      <x:c r="K6" s="5"/>
      <x:c r="L6" s="1"/>
    </x:row>
    <x:row r="7" ht="22" customHeight="1">
      <x:c r="A7" s="1"/>
      <x:c r="B7" s="1"/>
      <x:c r="C7" s="1"/>
      <x:c r="D7" s="1"/>
      <x:c r="E7" s="1"/>
      <x:c r="F7" s="1"/>
      <x:c r="G7" s="1"/>
      <x:c r="H7" s="1"/>
      <x:c r="I7" s="1"/>
      <x:c r="J7" s="1"/>
      <x:c r="K7" s="1"/>
      <x:c r="L7" s="1"/>
    </x:row>
    <x:row r="8" ht="15" hidden="0" customHeight="1">
      <x:c r="A8" s="1"/>
      <x:c r="B8" s="1"/>
      <x:c r="C8" s="10" t="str">
        <x:v>Monthly unit growth (active)</x:v>
      </x:c>
      <x:c r="D8" s="11" t="n">
        <x:f>IF(ISNUMBER(CHOOSE($D$5,D9,D10,D11)),CHOOSE($D$5,D9,D10,D11),NA())</x:f>
        <x:v>0.012</x:v>
      </x:c>
      <x:c r="E8" s="1"/>
      <x:c r="F8" s="14" t="str">
        <x:v>Cash driver</x:v>
      </x:c>
      <x:c r="G8" s="14" t="str">
        <x:v>Value</x:v>
      </x:c>
      <x:c r="H8" s="14" t="str">
        <x:v>Units</x:v>
      </x:c>
      <x:c r="I8" s="14" t="str">
        <x:v>Basis</x:v>
      </x:c>
      <x:c r="J8" s="1"/>
      <x:c r="K8" s="1"/>
      <x:c r="L8" s="1"/>
    </x:row>
    <x:row r="9" ht="15" hidden="0" customHeight="1">
      <x:c r="A9" s="1"/>
      <x:c r="B9" s="1"/>
      <x:c r="C9" s="1" t="str">
        <x:v>Base</x:v>
      </x:c>
      <x:c r="D9" s="9" t="n">
        <x:v>0.012</x:v>
      </x:c>
      <x:c r="E9" s="1"/>
      <x:c r="F9" s="5" t="str">
        <x:v>Opening July cash</x:v>
      </x:c>
      <x:c r="G9" s="15" t="n">
        <x:v>500000</x:v>
      </x:c>
      <x:c r="H9" s="5" t="str">
        <x:v>USD</x:v>
      </x:c>
      <x:c r="I9" s="5" t="str">
        <x:v>Synthetic assumption</x:v>
      </x:c>
      <x:c r="J9" s="1"/>
      <x:c r="K9" s="1"/>
      <x:c r="L9" s="1"/>
    </x:row>
    <x:row r="10" ht="26.399999618530273" hidden="0" customHeight="1">
      <x:c r="A10" s="1"/>
      <x:c r="B10" s="1"/>
      <x:c r="C10" s="1" t="str">
        <x:v>Downside</x:v>
      </x:c>
      <x:c r="D10" s="9" t="n">
        <x:v>-0.012</x:v>
      </x:c>
      <x:c r="E10" s="1"/>
      <x:c r="F10" s="5" t="str">
        <x:v>Receivable days</x:v>
      </x:c>
      <x:c r="G10" s="15" t="n">
        <x:v>35</x:v>
      </x:c>
      <x:c r="H10" s="5" t="str">
        <x:v>days</x:v>
      </x:c>
      <x:c r="I10" s="5" t="str">
        <x:v>30-day month approximation</x:v>
      </x:c>
      <x:c r="J10" s="1"/>
      <x:c r="K10" s="1"/>
      <x:c r="L10" s="1"/>
    </x:row>
    <x:row r="11" ht="15" hidden="0" customHeight="1">
      <x:c r="A11" s="1"/>
      <x:c r="B11" s="1"/>
      <x:c r="C11" s="1" t="str">
        <x:v>Upside</x:v>
      </x:c>
      <x:c r="D11" s="9" t="n">
        <x:v>0.027</x:v>
      </x:c>
      <x:c r="E11" s="1"/>
      <x:c r="F11" s="5" t="str">
        <x:v>Payable days</x:v>
      </x:c>
      <x:c r="G11" s="15" t="n">
        <x:v>20</x:v>
      </x:c>
      <x:c r="H11" s="5" t="str">
        <x:v>days</x:v>
      </x:c>
      <x:c r="I11" s="5" t="str">
        <x:v>Variable costs only</x:v>
      </x:c>
      <x:c r="J11" s="1"/>
      <x:c r="K11" s="1"/>
      <x:c r="L11" s="1"/>
    </x:row>
    <x:row r="12" ht="26.399999618530273" hidden="0" customHeight="1">
      <x:c r="A12" s="1"/>
      <x:c r="B12" s="1"/>
      <x:c r="C12" s="1"/>
      <x:c r="D12" s="1"/>
      <x:c r="E12" s="1"/>
      <x:c r="F12" s="5" t="str">
        <x:v>Monthly depreciation</x:v>
      </x:c>
      <x:c r="G12" s="15" t="n">
        <x:v>20000</x:v>
      </x:c>
      <x:c r="H12" s="5" t="str">
        <x:v>USD</x:v>
      </x:c>
      <x:c r="I12" s="5" t="str">
        <x:v>Existing asset base simplified</x:v>
      </x:c>
      <x:c r="J12" s="1"/>
      <x:c r="K12" s="1"/>
      <x:c r="L12" s="1"/>
    </x:row>
    <x:row r="13" ht="26.399999618530273" hidden="0" customHeight="1">
      <x:c r="A13" s="1"/>
      <x:c r="B13" s="1"/>
      <x:c r="C13" s="10" t="str">
        <x:v>Monthly price growth (active)</x:v>
      </x:c>
      <x:c r="D13" s="11" t="n">
        <x:f>IF(ISNUMBER(CHOOSE($D$5,D14,D15,D16)),CHOOSE($D$5,D14,D15,D16),NA())</x:f>
        <x:v>0.018</x:v>
      </x:c>
      <x:c r="E13" s="1"/>
      <x:c r="F13" s="5" t="str">
        <x:v>Monthly cash capex</x:v>
      </x:c>
      <x:c r="G13" s="15" t="n">
        <x:v>25000</x:v>
      </x:c>
      <x:c r="H13" s="5" t="str">
        <x:v>USD</x:v>
      </x:c>
      <x:c r="I13" s="5" t="str">
        <x:v>Maintenance capex assumption</x:v>
      </x:c>
      <x:c r="J13" s="1"/>
      <x:c r="K13" s="1"/>
      <x:c r="L13" s="1"/>
    </x:row>
    <x:row r="14" ht="26.399999618530273" hidden="0" customHeight="1">
      <x:c r="A14" s="1"/>
      <x:c r="B14" s="1"/>
      <x:c r="C14" s="1" t="str">
        <x:v>Base</x:v>
      </x:c>
      <x:c r="D14" s="9" t="n">
        <x:v>0.018</x:v>
      </x:c>
      <x:c r="E14" s="1"/>
      <x:c r="F14" s="5" t="str">
        <x:v>Cash tax rate</x:v>
      </x:c>
      <x:c r="G14" s="15" t="n">
        <x:v>0.25</x:v>
      </x:c>
      <x:c r="H14" s="5" t="str">
        <x:v>fraction</x:v>
      </x:c>
      <x:c r="I14" s="5" t="str">
        <x:v>Tax only on positive EBIT</x:v>
      </x:c>
      <x:c r="J14" s="1"/>
      <x:c r="K14" s="1"/>
      <x:c r="L14" s="1"/>
    </x:row>
    <x:row r="15" ht="39.599998474121094" hidden="0" customHeight="1">
      <x:c r="A15" s="1"/>
      <x:c r="B15" s="1"/>
      <x:c r="C15" s="1" t="str">
        <x:v>Downside</x:v>
      </x:c>
      <x:c r="D15" s="9" t="n">
        <x:v>0</x:v>
      </x:c>
      <x:c r="E15" s="1"/>
      <x:c r="F15" s="5" t="str">
        <x:v>Minimum cash</x:v>
      </x:c>
      <x:c r="G15" s="15" t="n">
        <x:v>250000</x:v>
      </x:c>
      <x:c r="H15" s="5" t="str">
        <x:v>USD</x:v>
      </x:c>
      <x:c r="I15" s="5" t="str">
        <x:v>Illustrative management threshold</x:v>
      </x:c>
      <x:c r="J15" s="1"/>
      <x:c r="K15" s="1"/>
      <x:c r="L15" s="1"/>
    </x:row>
    <x:row r="16" ht="22" customHeight="1">
      <x:c r="A16" s="1"/>
      <x:c r="B16" s="1"/>
      <x:c r="C16" s="1" t="str">
        <x:v>Upside</x:v>
      </x:c>
      <x:c r="D16" s="9" t="n">
        <x:v>0.025</x:v>
      </x:c>
      <x:c r="E16" s="1"/>
      <x:c r="F16" s="1"/>
      <x:c r="G16" s="1"/>
      <x:c r="H16" s="1"/>
      <x:c r="I16" s="1"/>
      <x:c r="J16" s="1"/>
      <x:c r="K16" s="1"/>
      <x:c r="L16" s="1"/>
    </x:row>
    <x:row r="17" ht="22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</x:row>
    <x:row r="18" ht="22" customHeight="1">
      <x:c r="A18" s="1"/>
      <x:c r="B18" s="1"/>
      <x:c r="C18" s="10" t="str">
        <x:v>Monthly unit cost inflation (active)</x:v>
      </x:c>
      <x:c r="D18" s="11" t="n">
        <x:f>IF(ISNUMBER(CHOOSE($D$5,D19,D20,D21)),CHOOSE($D$5,D19,D20,D21),NA())</x:f>
        <x:v>0.025</x:v>
      </x:c>
      <x:c r="E18" s="1"/>
      <x:c r="F18" s="1"/>
      <x:c r="G18" s="1"/>
      <x:c r="H18" s="1"/>
      <x:c r="I18" s="1"/>
      <x:c r="J18" s="1"/>
      <x:c r="K18" s="1"/>
      <x:c r="L18" s="1"/>
    </x:row>
    <x:row r="19" ht="22" customHeight="1">
      <x:c r="A19" s="1"/>
      <x:c r="B19" s="1"/>
      <x:c r="C19" s="1" t="str">
        <x:v>Base</x:v>
      </x:c>
      <x:c r="D19" s="9" t="n">
        <x:v>0.025</x:v>
      </x:c>
      <x:c r="E19" s="1"/>
      <x:c r="F19" s="1"/>
      <x:c r="G19" s="1"/>
      <x:c r="H19" s="1"/>
      <x:c r="I19" s="1"/>
      <x:c r="J19" s="1"/>
      <x:c r="K19" s="1"/>
      <x:c r="L19" s="1"/>
    </x:row>
    <x:row r="20" ht="22" customHeight="1">
      <x:c r="A20" s="1"/>
      <x:c r="B20" s="1"/>
      <x:c r="C20" s="1" t="str">
        <x:v>Downside</x:v>
      </x:c>
      <x:c r="D20" s="9" t="n">
        <x:v>0.035</x:v>
      </x:c>
      <x:c r="E20" s="1"/>
      <x:c r="F20" s="1"/>
      <x:c r="G20" s="1"/>
      <x:c r="H20" s="1"/>
      <x:c r="I20" s="1"/>
      <x:c r="J20" s="1"/>
      <x:c r="K20" s="1"/>
      <x:c r="L20" s="1"/>
    </x:row>
    <x:row r="21" ht="22" customHeight="1">
      <x:c r="A21" s="1"/>
      <x:c r="B21" s="1"/>
      <x:c r="C21" s="1" t="str">
        <x:v>Upside</x:v>
      </x:c>
      <x:c r="D21" s="9" t="n">
        <x:v>0.02</x:v>
      </x:c>
      <x:c r="E21" s="1"/>
      <x:c r="F21" s="1"/>
      <x:c r="G21" s="1"/>
      <x:c r="H21" s="1"/>
      <x:c r="I21" s="1"/>
      <x:c r="J21" s="1"/>
      <x:c r="K21" s="1"/>
      <x:c r="L21" s="1"/>
    </x:row>
    <x:row r="22" ht="22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</x:row>
    <x:row r="23" ht="22" customHeight="1">
      <x:c r="A23" s="1"/>
      <x:c r="B23" s="1"/>
      <x:c r="C23" s="10" t="str">
        <x:v>Monthly operating expense growth (active)</x:v>
      </x:c>
      <x:c r="D23" s="11" t="n">
        <x:f>IF(ISNUMBER(CHOOSE($D$5,D24,D25,D26)),CHOOSE($D$5,D24,D25,D26),NA())</x:f>
        <x:v>0.02</x:v>
      </x:c>
      <x:c r="E23" s="1"/>
      <x:c r="F23" s="1"/>
      <x:c r="G23" s="1"/>
      <x:c r="H23" s="1"/>
      <x:c r="I23" s="1"/>
      <x:c r="J23" s="1"/>
      <x:c r="K23" s="1"/>
      <x:c r="L23" s="1"/>
    </x:row>
    <x:row r="24" ht="22" customHeight="1">
      <x:c r="A24" s="1"/>
      <x:c r="B24" s="1"/>
      <x:c r="C24" s="1" t="str">
        <x:v>Base</x:v>
      </x:c>
      <x:c r="D24" s="9" t="n">
        <x:v>0.02</x:v>
      </x:c>
      <x:c r="E24" s="1"/>
      <x:c r="F24" s="1"/>
      <x:c r="G24" s="1"/>
      <x:c r="H24" s="1"/>
      <x:c r="I24" s="1"/>
      <x:c r="J24" s="1"/>
      <x:c r="K24" s="1"/>
      <x:c r="L24" s="1"/>
    </x:row>
    <x:row r="25" ht="22" customHeight="1">
      <x:c r="A25" s="1"/>
      <x:c r="B25" s="1"/>
      <x:c r="C25" s="1" t="str">
        <x:v>Downside</x:v>
      </x:c>
      <x:c r="D25" s="9" t="n">
        <x:v>0.025</x:v>
      </x:c>
      <x:c r="E25" s="1"/>
      <x:c r="F25" s="1"/>
      <x:c r="G25" s="1"/>
      <x:c r="H25" s="1"/>
      <x:c r="I25" s="1"/>
      <x:c r="J25" s="1"/>
      <x:c r="K25" s="1"/>
      <x:c r="L25" s="1"/>
    </x:row>
    <x:row r="26" ht="22" customHeight="1">
      <x:c r="A26" s="1"/>
      <x:c r="B26" s="1"/>
      <x:c r="C26" s="1" t="str">
        <x:v>Upside</x:v>
      </x:c>
      <x:c r="D26" s="9" t="n">
        <x:v>0.018</x:v>
      </x:c>
      <x:c r="E26" s="1"/>
      <x:c r="F26" s="1"/>
      <x:c r="G26" s="1"/>
      <x:c r="H26" s="1"/>
      <x:c r="I26" s="1"/>
      <x:c r="J26" s="1"/>
      <x:c r="K26" s="1"/>
      <x:c r="L26" s="1"/>
    </x:row>
    <x:row r="27" ht="22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</x:row>
    <x:row r="28" ht="22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</x:row>
    <x:row r="29" ht="22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</x:row>
    <x:row r="30" ht="22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</x:row>
    <x:row r="31" ht="22" customHeight="1">
      <x:c r="A31" s="1"/>
      <x:c r="B31" s="1"/>
      <x:c r="C31" s="5" t="str">
        <x:v>Monthly rates compound. No financing, dividends, or loss carryforwards.</x:v>
      </x:c>
      <x:c r="D31" s="5"/>
      <x:c r="E31" s="5"/>
      <x:c r="F31" s="5"/>
      <x:c r="G31" s="5"/>
      <x:c r="H31" s="5"/>
      <x:c r="I31" s="5"/>
      <x:c r="J31" s="5"/>
      <x:c r="K31" s="5"/>
      <x:c r="L31" s="1"/>
    </x:row>
    <x:row r="32" ht="22" customHeight="1">
      <x:c r="A32" s="1"/>
      <x:c r="B32" s="1"/>
      <x:c r="C32" s="5"/>
      <x:c r="D32" s="5"/>
      <x:c r="E32" s="5"/>
      <x:c r="F32" s="5"/>
      <x:c r="G32" s="5"/>
      <x:c r="H32" s="5"/>
      <x:c r="I32" s="5"/>
      <x:c r="J32" s="5"/>
      <x:c r="K32" s="5"/>
      <x:c r="L32" s="1"/>
    </x:row>
    <x:row r="33" ht="22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</x:row>
    <x:row r="34" ht="22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</x:row>
    <x:row r="35" ht="22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</x:row>
    <x:row r="36" ht="22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</x:row>
    <x:row r="37" ht="22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</x:row>
    <x:row r="38" ht="22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</x:row>
    <x:row r="39" ht="22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</x:row>
    <x:row r="40" ht="22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</x:row>
    <x:row r="41" ht="22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</x:row>
    <x:row r="42" ht="22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</x:row>
    <x:row r="43" ht="22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</x:row>
    <x:row r="44" ht="22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</x:row>
    <x:row r="45" ht="22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</x:row>
    <x:row r="46" ht="22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</x:row>
    <x:row r="47" ht="22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</x:row>
    <x:row r="48" ht="22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</x:row>
    <x:row r="49" ht="22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</x:row>
    <x:row r="50" ht="22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</x:row>
    <x:row r="51" ht="22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</x:row>
    <x:row r="52" ht="22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</x:row>
    <x:row r="53" ht="22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</x:row>
    <x:row r="54" ht="22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</x:row>
    <x:row r="55" ht="22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</x:row>
    <x:row r="56" ht="22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</x:row>
    <x:row r="57" ht="22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</x:row>
    <x:row r="58" ht="22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</x:row>
    <x:row r="59" ht="22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</x:row>
    <x:row r="60" ht="22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</x:row>
    <x:row r="61" ht="22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</x:row>
    <x:row r="62" ht="22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</x:row>
    <x:row r="63" ht="22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</x:row>
    <x:row r="64" ht="22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</x:row>
    <x:row r="65" ht="22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</x:row>
  </x:sheetData>
  <x:mergeCells>
    <x:mergeCell ref="F5:K6"/>
    <x:mergeCell ref="C31:K32"/>
  </x:mergeCells>
  <x:dataValidations count="1">
    <x:dataValidation type="list" sqref="D5">
      <x:formula1>"1,2,3"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" hidden="0" customWidth="1"/>
    <x:col min="2" max="2" width="3" hidden="0" customWidth="1"/>
    <x:col min="3" max="3" width="42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  <x:col min="14" max="14" width="17" hidden="0" customWidth="1"/>
  </x:cols>
  <x:sheetData>
    <x:row r="1" ht="22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</x:row>
    <x:row r="2" ht="22" customHeight="1">
      <x:c r="A2" s="1"/>
      <x:c r="B2" s="1"/>
      <x:c r="C2" s="2" t="str">
        <x:v>Segment operating build</x:v>
      </x:c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</x:row>
    <x:row r="3" ht="22" customHeight="1">
      <x:c r="A3" s="1"/>
      <x:c r="B3" s="1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3"/>
    </x:row>
    <x:row r="4" ht="22" customHeight="1">
      <x:c r="A4" s="1"/>
      <x:c r="B4" s="1"/>
      <x:c r="C4" s="1" t="str">
        <x:v>Case selected</x:v>
      </x:c>
      <x:c r="D4" s="7" t="str">
        <x:f>'Assumptions'!D4</x:f>
        <x:v>Base</x:v>
      </x:c>
      <x:c r="E4" s="1"/>
      <x:c r="F4" s="1"/>
      <x:c r="G4" s="1"/>
      <x:c r="H4" s="1"/>
      <x:c r="I4" s="1"/>
      <x:c r="J4" s="1"/>
      <x:c r="K4" s="1"/>
      <x:c r="L4" s="1"/>
      <x:c r="M4" s="1"/>
      <x:c r="N4" s="1"/>
    </x:row>
    <x:row r="5" ht="22" customHeight="1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</x:row>
    <x:row r="6" ht="15" hidden="0" customHeight="1">
      <x:c r="A6" s="1"/>
      <x:c r="B6" s="1"/>
      <x:c r="C6" s="14" t="str">
        <x:v>Month</x:v>
      </x:c>
      <x:c r="D6" s="14" t="str">
        <x:v>Segment</x:v>
      </x:c>
      <x:c r="E6" s="14" t="str">
        <x:v>Units</x:v>
      </x:c>
      <x:c r="F6" s="14" t="str">
        <x:v>Price / unit</x:v>
      </x:c>
      <x:c r="G6" s="14" t="str">
        <x:v>Variable cost / unit</x:v>
      </x:c>
      <x:c r="H6" s="14" t="str">
        <x:v>Fixed</x:v>
      </x:c>
      <x:c r="I6" s="14" t="str">
        <x:v>Opex</x:v>
      </x:c>
      <x:c r="J6" s="14" t="str">
        <x:v>Revenue</x:v>
      </x:c>
      <x:c r="K6" s="14" t="str">
        <x:v>Variable cost</x:v>
      </x:c>
      <x:c r="L6" s="14" t="str">
        <x:v>EBITDA</x:v>
      </x:c>
      <x:c r="M6" s="14" t="str">
        <x:v>Seasonality</x:v>
      </x:c>
      <x:c r="N6" s="14" t="str">
        <x:v>Original fixed</x:v>
      </x:c>
    </x:row>
    <x:row r="7" ht="22" customHeight="1">
      <x:c r="A7" s="1"/>
      <x:c r="B7" s="1"/>
      <x:c r="C7" s="20" t="d">
        <x:v>2026-01-01T00:00:00.000Z</x:v>
      </x:c>
      <x:c r="D7" s="1" t="str">
        <x:v>Core</x:v>
      </x:c>
      <x:c r="E7" s="25" t="n">
        <x:f>'Source'!E7</x:f>
        <x:v>832</x:v>
      </x:c>
      <x:c r="F7" s="26" t="n">
        <x:f>'Source'!F7</x:f>
        <x:v>410.62</x:v>
      </x:c>
      <x:c r="G7" s="26" t="n">
        <x:f>'Source'!G7</x:f>
        <x:v>248.5</x:v>
      </x:c>
      <x:c r="H7" s="27" t="n">
        <x:f>'Source'!H7</x:f>
        <x:v>89089</x:v>
      </x:c>
      <x:c r="I7" s="27" t="n">
        <x:f>'Source'!I7</x:f>
        <x:v>61122</x:v>
      </x:c>
      <x:c r="J7" s="28" t="n">
        <x:f>E7*F7</x:f>
        <x:v>341635.84</x:v>
      </x:c>
      <x:c r="K7" s="28" t="n">
        <x:f>E7*G7</x:f>
        <x:v>206752</x:v>
      </x:c>
      <x:c r="L7" s="28" t="n">
        <x:f>J7-SUM(K7,H7:I7)</x:f>
        <x:v>-15327.159999999974</x:v>
      </x:c>
      <x:c r="M7" s="24" t="n">
        <x:v>0.94</x:v>
      </x:c>
      <x:c r="N7" s="24" t="n">
        <x:v>89000</x:v>
      </x:c>
    </x:row>
    <x:row r="8" ht="22" customHeight="1">
      <x:c r="A8" s="1"/>
      <x:c r="B8" s="1"/>
      <x:c r="C8" s="20" t="d">
        <x:v>2026-01-01T00:00:00.000Z</x:v>
      </x:c>
      <x:c r="D8" s="1" t="str">
        <x:v>Enterprise</x:v>
      </x:c>
      <x:c r="E8" s="25" t="n">
        <x:f>'Source'!E8</x:f>
        <x:v>275</x:v>
      </x:c>
      <x:c r="F8" s="26" t="n">
        <x:f>'Source'!F8</x:f>
        <x:v>1121.68</x:v>
      </x:c>
      <x:c r="G8" s="26" t="n">
        <x:f>'Source'!G8</x:f>
        <x:v>606.21</x:v>
      </x:c>
      <x:c r="H8" s="27" t="n">
        <x:f>'Source'!H8</x:f>
        <x:v>76076</x:v>
      </x:c>
      <x:c r="I8" s="27" t="n">
        <x:f>'Source'!I8</x:f>
        <x:v>82164</x:v>
      </x:c>
      <x:c r="J8" s="28" t="n">
        <x:f>E8*F8</x:f>
        <x:v>308462</x:v>
      </x:c>
      <x:c r="K8" s="28" t="n">
        <x:f>E8*G8</x:f>
        <x:v>166707.75</x:v>
      </x:c>
      <x:c r="L8" s="28" t="n">
        <x:f>J8-SUM(K8,H8:I8)</x:f>
        <x:v>-16485.75</x:v>
      </x:c>
      <x:c r="M8" s="24" t="n">
        <x:v>0.94</x:v>
      </x:c>
      <x:c r="N8" s="24" t="n">
        <x:v>76000</x:v>
      </x:c>
    </x:row>
    <x:row r="9" ht="22" customHeight="1">
      <x:c r="A9" s="1"/>
      <x:c r="B9" s="1"/>
      <x:c r="C9" s="20" t="d">
        <x:v>2026-01-01T00:00:00.000Z</x:v>
      </x:c>
      <x:c r="D9" s="1" t="str">
        <x:v>Services</x:v>
      </x:c>
      <x:c r="E9" s="25" t="n">
        <x:f>'Source'!E9</x:f>
        <x:v>496</x:v>
      </x:c>
      <x:c r="F9" s="26" t="n">
        <x:f>'Source'!F9</x:f>
        <x:v>285.43</x:v>
      </x:c>
      <x:c r="G9" s="26" t="n">
        <x:f>'Source'!G9</x:f>
        <x:v>108.22</x:v>
      </x:c>
      <x:c r="H9" s="27" t="n">
        <x:f>'Source'!H9</x:f>
        <x:v>42042</x:v>
      </x:c>
      <x:c r="I9" s="27" t="n">
        <x:f>'Source'!I9</x:f>
        <x:v>51102</x:v>
      </x:c>
      <x:c r="J9" s="28" t="n">
        <x:f>E9*F9</x:f>
        <x:v>141573.28</x:v>
      </x:c>
      <x:c r="K9" s="28" t="n">
        <x:f>E9*G9</x:f>
        <x:v>53677.12</x:v>
      </x:c>
      <x:c r="L9" s="28" t="n">
        <x:f>J9-SUM(K9,H9:I9)</x:f>
        <x:v>-5247.8399999999965</x:v>
      </x:c>
      <x:c r="M9" s="24" t="n">
        <x:v>0.94</x:v>
      </x:c>
      <x:c r="N9" s="24" t="n">
        <x:v>42000</x:v>
      </x:c>
    </x:row>
    <x:row r="10" ht="22" customHeight="1">
      <x:c r="A10" s="1"/>
      <x:c r="B10" s="1"/>
      <x:c r="C10" s="20" t="d">
        <x:v>2026-02-01T00:00:00.000Z</x:v>
      </x:c>
      <x:c r="D10" s="1" t="str">
        <x:v>Core</x:v>
      </x:c>
      <x:c r="E10" s="25" t="n">
        <x:f>'Source'!E10</x:f>
        <x:v>819</x:v>
      </x:c>
      <x:c r="F10" s="26" t="n">
        <x:f>'Source'!F10</x:f>
        <x:v>411.23</x:v>
      </x:c>
      <x:c r="G10" s="26" t="n">
        <x:f>'Source'!G10</x:f>
        <x:v>248.99</x:v>
      </x:c>
      <x:c r="H10" s="27" t="n">
        <x:f>'Source'!H10</x:f>
        <x:v>89178</x:v>
      </x:c>
      <x:c r="I10" s="27" t="n">
        <x:f>'Source'!I10</x:f>
        <x:v>61244</x:v>
      </x:c>
      <x:c r="J10" s="28" t="n">
        <x:f>E10*F10</x:f>
        <x:v>336797.37</x:v>
      </x:c>
      <x:c r="K10" s="28" t="n">
        <x:f>E10*G10</x:f>
        <x:v>203922.81</x:v>
      </x:c>
      <x:c r="L10" s="28" t="n">
        <x:f>J10-SUM(K10,H10:I10)</x:f>
        <x:v>-17547.440000000002</x:v>
      </x:c>
      <x:c r="M10" s="24" t="n">
        <x:v>0.92</x:v>
      </x:c>
      <x:c r="N10" s="24" t="n">
        <x:v>89000</x:v>
      </x:c>
    </x:row>
    <x:row r="11" ht="22" customHeight="1">
      <x:c r="A11" s="1"/>
      <x:c r="B11" s="1"/>
      <x:c r="C11" s="20" t="d">
        <x:v>2026-02-01T00:00:00.000Z</x:v>
      </x:c>
      <x:c r="D11" s="1" t="str">
        <x:v>Enterprise</x:v>
      </x:c>
      <x:c r="E11" s="25" t="n">
        <x:f>'Source'!E11</x:f>
        <x:v>271</x:v>
      </x:c>
      <x:c r="F11" s="26" t="n">
        <x:f>'Source'!F11</x:f>
        <x:v>1123.36</x:v>
      </x:c>
      <x:c r="G11" s="26" t="n">
        <x:f>'Source'!G11</x:f>
        <x:v>607.42</x:v>
      </x:c>
      <x:c r="H11" s="27" t="n">
        <x:f>'Source'!H11</x:f>
        <x:v>76152</x:v>
      </x:c>
      <x:c r="I11" s="27" t="n">
        <x:f>'Source'!I11</x:f>
        <x:v>82328</x:v>
      </x:c>
      <x:c r="J11" s="28" t="n">
        <x:f>E11*F11</x:f>
        <x:v>304430.56</x:v>
      </x:c>
      <x:c r="K11" s="28" t="n">
        <x:f>E11*G11</x:f>
        <x:v>164610.81999999998</x:v>
      </x:c>
      <x:c r="L11" s="28" t="n">
        <x:f>J11-SUM(K11,H11:I11)</x:f>
        <x:v>-18660.25999999995</x:v>
      </x:c>
      <x:c r="M11" s="24" t="n">
        <x:v>0.92</x:v>
      </x:c>
      <x:c r="N11" s="24" t="n">
        <x:v>76000</x:v>
      </x:c>
    </x:row>
    <x:row r="12" ht="22" customHeight="1">
      <x:c r="A12" s="1"/>
      <x:c r="B12" s="1"/>
      <x:c r="C12" s="20" t="d">
        <x:v>2026-02-01T00:00:00.000Z</x:v>
      </x:c>
      <x:c r="D12" s="1" t="str">
        <x:v>Services</x:v>
      </x:c>
      <x:c r="E12" s="25" t="n">
        <x:f>'Source'!E12</x:f>
        <x:v>488</x:v>
      </x:c>
      <x:c r="F12" s="26" t="n">
        <x:f>'Source'!F12</x:f>
        <x:v>285.85</x:v>
      </x:c>
      <x:c r="G12" s="26" t="n">
        <x:f>'Source'!G12</x:f>
        <x:v>108.43</x:v>
      </x:c>
      <x:c r="H12" s="27" t="n">
        <x:f>'Source'!H12</x:f>
        <x:v>42084</x:v>
      </x:c>
      <x:c r="I12" s="27" t="n">
        <x:f>'Source'!I12</x:f>
        <x:v>51204</x:v>
      </x:c>
      <x:c r="J12" s="28" t="n">
        <x:f>E12*F12</x:f>
        <x:v>139494.80000000002</x:v>
      </x:c>
      <x:c r="K12" s="28" t="n">
        <x:f>E12*G12</x:f>
        <x:v>52913.840000000004</x:v>
      </x:c>
      <x:c r="L12" s="28" t="n">
        <x:f>J12-SUM(K12,H12:I12)</x:f>
        <x:v>-6707.039999999979</x:v>
      </x:c>
      <x:c r="M12" s="24" t="n">
        <x:v>0.92</x:v>
      </x:c>
      <x:c r="N12" s="24" t="n">
        <x:v>42000</x:v>
      </x:c>
    </x:row>
    <x:row r="13" ht="22" customHeight="1">
      <x:c r="A13" s="1"/>
      <x:c r="B13" s="1"/>
      <x:c r="C13" s="20" t="d">
        <x:v>2026-03-01T00:00:00.000Z</x:v>
      </x:c>
      <x:c r="D13" s="1" t="str">
        <x:v>Core</x:v>
      </x:c>
      <x:c r="E13" s="25" t="n">
        <x:f>'Source'!E13</x:f>
        <x:v>896</x:v>
      </x:c>
      <x:c r="F13" s="26" t="n">
        <x:f>'Source'!F13</x:f>
        <x:v>411.84</x:v>
      </x:c>
      <x:c r="G13" s="26" t="n">
        <x:f>'Source'!G13</x:f>
        <x:v>249.49</x:v>
      </x:c>
      <x:c r="H13" s="27" t="n">
        <x:f>'Source'!H13</x:f>
        <x:v>89267</x:v>
      </x:c>
      <x:c r="I13" s="27" t="n">
        <x:f>'Source'!I13</x:f>
        <x:v>61366</x:v>
      </x:c>
      <x:c r="J13" s="28" t="n">
        <x:f>E13*F13</x:f>
        <x:v>369008.63999999996</x:v>
      </x:c>
      <x:c r="K13" s="28" t="n">
        <x:f>E13*G13</x:f>
        <x:v>223543.04</x:v>
      </x:c>
      <x:c r="L13" s="28" t="n">
        <x:f>J13-SUM(K13,H13:I13)</x:f>
        <x:v>-5167.4000000000815</x:v>
      </x:c>
      <x:c r="M13" s="24" t="n">
        <x:v>1</x:v>
      </x:c>
      <x:c r="N13" s="24" t="n">
        <x:v>89000</x:v>
      </x:c>
    </x:row>
    <x:row r="14" ht="22" customHeight="1">
      <x:c r="A14" s="1"/>
      <x:c r="B14" s="1"/>
      <x:c r="C14" s="20" t="d">
        <x:v>2026-03-01T00:00:00.000Z</x:v>
      </x:c>
      <x:c r="D14" s="1" t="str">
        <x:v>Enterprise</x:v>
      </x:c>
      <x:c r="E14" s="25" t="n">
        <x:f>'Source'!E14</x:f>
        <x:v>296</x:v>
      </x:c>
      <x:c r="F14" s="26" t="n">
        <x:f>'Source'!F14</x:f>
        <x:v>1125.04</x:v>
      </x:c>
      <x:c r="G14" s="26" t="n">
        <x:f>'Source'!G14</x:f>
        <x:v>608.63</x:v>
      </x:c>
      <x:c r="H14" s="27" t="n">
        <x:f>'Source'!H14</x:f>
        <x:v>76228</x:v>
      </x:c>
      <x:c r="I14" s="27" t="n">
        <x:f>'Source'!I14</x:f>
        <x:v>82492</x:v>
      </x:c>
      <x:c r="J14" s="28" t="n">
        <x:f>E14*F14</x:f>
        <x:v>333011.83999999997</x:v>
      </x:c>
      <x:c r="K14" s="28" t="n">
        <x:f>E14*G14</x:f>
        <x:v>180154.48</x:v>
      </x:c>
      <x:c r="L14" s="28" t="n">
        <x:f>J14-SUM(K14,H14:I14)</x:f>
        <x:v>-5862.640000000014</x:v>
      </x:c>
      <x:c r="M14" s="24" t="n">
        <x:v>1</x:v>
      </x:c>
      <x:c r="N14" s="24" t="n">
        <x:v>76000</x:v>
      </x:c>
    </x:row>
    <x:row r="15" ht="22" customHeight="1">
      <x:c r="A15" s="1"/>
      <x:c r="B15" s="1"/>
      <x:c r="C15" s="20" t="d">
        <x:v>2026-03-01T00:00:00.000Z</x:v>
      </x:c>
      <x:c r="D15" s="1" t="str">
        <x:v>Services</x:v>
      </x:c>
      <x:c r="E15" s="25" t="n">
        <x:f>'Source'!E15</x:f>
        <x:v>534</x:v>
      </x:c>
      <x:c r="F15" s="26" t="n">
        <x:f>'Source'!F15</x:f>
        <x:v>286.28</x:v>
      </x:c>
      <x:c r="G15" s="26" t="n">
        <x:f>'Source'!G15</x:f>
        <x:v>108.65</x:v>
      </x:c>
      <x:c r="H15" s="27" t="n">
        <x:f>'Source'!H15</x:f>
        <x:v>42126</x:v>
      </x:c>
      <x:c r="I15" s="27" t="n">
        <x:f>'Source'!I15</x:f>
        <x:v>51306</x:v>
      </x:c>
      <x:c r="J15" s="28" t="n">
        <x:f>E15*F15</x:f>
        <x:v>152873.52</x:v>
      </x:c>
      <x:c r="K15" s="28" t="n">
        <x:f>E15*G15</x:f>
        <x:v>58019.100000000006</x:v>
      </x:c>
      <x:c r="L15" s="28" t="n">
        <x:f>J15-SUM(K15,H15:I15)</x:f>
        <x:v>1422.4199999999837</x:v>
      </x:c>
      <x:c r="M15" s="24" t="n">
        <x:v>1</x:v>
      </x:c>
      <x:c r="N15" s="24" t="n">
        <x:v>42000</x:v>
      </x:c>
    </x:row>
    <x:row r="16" ht="22" customHeight="1">
      <x:c r="A16" s="1"/>
      <x:c r="B16" s="1"/>
      <x:c r="C16" s="20" t="d">
        <x:v>2026-04-01T00:00:00.000Z</x:v>
      </x:c>
      <x:c r="D16" s="1" t="str">
        <x:v>Core</x:v>
      </x:c>
      <x:c r="E16" s="25" t="n">
        <x:f>'Source'!E16</x:f>
        <x:v>883</x:v>
      </x:c>
      <x:c r="F16" s="26" t="n">
        <x:f>'Source'!F16</x:f>
        <x:v>412.46</x:v>
      </x:c>
      <x:c r="G16" s="26" t="n">
        <x:f>'Source'!G16</x:f>
        <x:v>249.98</x:v>
      </x:c>
      <x:c r="H16" s="27" t="n">
        <x:f>'Source'!H16</x:f>
        <x:v>89356</x:v>
      </x:c>
      <x:c r="I16" s="27" t="n">
        <x:f>'Source'!I16</x:f>
        <x:v>61488</x:v>
      </x:c>
      <x:c r="J16" s="28" t="n">
        <x:f>E16*F16</x:f>
        <x:v>364202.18</x:v>
      </x:c>
      <x:c r="K16" s="28" t="n">
        <x:f>E16*G16</x:f>
        <x:v>220732.34</x:v>
      </x:c>
      <x:c r="L16" s="28" t="n">
        <x:f>J16-SUM(K16,H16:I16)</x:f>
        <x:v>-7374.159999999974</x:v>
      </x:c>
      <x:c r="M16" s="24" t="n">
        <x:v>0.98</x:v>
      </x:c>
      <x:c r="N16" s="24" t="n">
        <x:v>89000</x:v>
      </x:c>
    </x:row>
    <x:row r="17" ht="22" customHeight="1">
      <x:c r="A17" s="1"/>
      <x:c r="B17" s="1"/>
      <x:c r="C17" s="20" t="d">
        <x:v>2026-04-01T00:00:00.000Z</x:v>
      </x:c>
      <x:c r="D17" s="1" t="str">
        <x:v>Enterprise</x:v>
      </x:c>
      <x:c r="E17" s="25" t="n">
        <x:f>'Source'!E17</x:f>
        <x:v>292</x:v>
      </x:c>
      <x:c r="F17" s="26" t="n">
        <x:f>'Source'!F17</x:f>
        <x:v>1126.72</x:v>
      </x:c>
      <x:c r="G17" s="26" t="n">
        <x:f>'Source'!G17</x:f>
        <x:v>609.84</x:v>
      </x:c>
      <x:c r="H17" s="27" t="n">
        <x:f>'Source'!H17</x:f>
        <x:v>76304</x:v>
      </x:c>
      <x:c r="I17" s="27" t="n">
        <x:f>'Source'!I17</x:f>
        <x:v>82656</x:v>
      </x:c>
      <x:c r="J17" s="28" t="n">
        <x:f>E17*F17</x:f>
        <x:v>329002.24</x:v>
      </x:c>
      <x:c r="K17" s="28" t="n">
        <x:f>E17*G17</x:f>
        <x:v>178073.28</x:v>
      </x:c>
      <x:c r="L17" s="28" t="n">
        <x:f>J17-SUM(K17,H17:I17)</x:f>
        <x:v>-8031.040000000037</x:v>
      </x:c>
      <x:c r="M17" s="24" t="n">
        <x:v>0.98</x:v>
      </x:c>
      <x:c r="N17" s="24" t="n">
        <x:v>76000</x:v>
      </x:c>
    </x:row>
    <x:row r="18" ht="22" customHeight="1">
      <x:c r="A18" s="1"/>
      <x:c r="B18" s="1"/>
      <x:c r="C18" s="20" t="d">
        <x:v>2026-04-01T00:00:00.000Z</x:v>
      </x:c>
      <x:c r="D18" s="1" t="str">
        <x:v>Services</x:v>
      </x:c>
      <x:c r="E18" s="25" t="n">
        <x:f>'Source'!E18</x:f>
        <x:v>526</x:v>
      </x:c>
      <x:c r="F18" s="26" t="n">
        <x:f>'Source'!F18</x:f>
        <x:v>286.71</x:v>
      </x:c>
      <x:c r="G18" s="26" t="n">
        <x:f>'Source'!G18</x:f>
        <x:v>108.86</x:v>
      </x:c>
      <x:c r="H18" s="27" t="n">
        <x:f>'Source'!H18</x:f>
        <x:v>42168</x:v>
      </x:c>
      <x:c r="I18" s="27" t="n">
        <x:f>'Source'!I18</x:f>
        <x:v>51408</x:v>
      </x:c>
      <x:c r="J18" s="28" t="n">
        <x:f>E18*F18</x:f>
        <x:v>150809.46</x:v>
      </x:c>
      <x:c r="K18" s="28" t="n">
        <x:f>E18*G18</x:f>
        <x:v>57260.36</x:v>
      </x:c>
      <x:c r="L18" s="28" t="n">
        <x:f>J18-SUM(K18,H18:I18)</x:f>
        <x:v>-26.89999999999418</x:v>
      </x:c>
      <x:c r="M18" s="24" t="n">
        <x:v>0.98</x:v>
      </x:c>
      <x:c r="N18" s="24" t="n">
        <x:v>42000</x:v>
      </x:c>
    </x:row>
    <x:row r="19" ht="22" customHeight="1">
      <x:c r="A19" s="1"/>
      <x:c r="B19" s="1"/>
      <x:c r="C19" s="20" t="d">
        <x:v>2026-05-01T00:00:00.000Z</x:v>
      </x:c>
      <x:c r="D19" s="1" t="str">
        <x:v>Core</x:v>
      </x:c>
      <x:c r="E19" s="25" t="n">
        <x:f>'Source'!E19</x:f>
        <x:v>925</x:v>
      </x:c>
      <x:c r="F19" s="26" t="n">
        <x:f>'Source'!F19</x:f>
        <x:v>413.08</x:v>
      </x:c>
      <x:c r="G19" s="26" t="n">
        <x:f>'Source'!G19</x:f>
        <x:v>250.48</x:v>
      </x:c>
      <x:c r="H19" s="27" t="n">
        <x:f>'Source'!H19</x:f>
        <x:v>89445</x:v>
      </x:c>
      <x:c r="I19" s="27" t="n">
        <x:f>'Source'!I19</x:f>
        <x:v>61610</x:v>
      </x:c>
      <x:c r="J19" s="28" t="n">
        <x:f>E19*F19</x:f>
        <x:v>382099</x:v>
      </x:c>
      <x:c r="K19" s="28" t="n">
        <x:f>E19*G19</x:f>
        <x:v>231694</x:v>
      </x:c>
      <x:c r="L19" s="28" t="n">
        <x:f>J19-SUM(K19,H19:I19)</x:f>
        <x:v>-650</x:v>
      </x:c>
      <x:c r="M19" s="24" t="n">
        <x:v>1.02</x:v>
      </x:c>
      <x:c r="N19" s="24" t="n">
        <x:v>89000</x:v>
      </x:c>
    </x:row>
    <x:row r="20" ht="22" customHeight="1">
      <x:c r="A20" s="1"/>
      <x:c r="B20" s="1"/>
      <x:c r="C20" s="20" t="d">
        <x:v>2026-05-01T00:00:00.000Z</x:v>
      </x:c>
      <x:c r="D20" s="1" t="str">
        <x:v>Enterprise</x:v>
      </x:c>
      <x:c r="E20" s="25" t="n">
        <x:f>'Source'!E20</x:f>
        <x:v>306</x:v>
      </x:c>
      <x:c r="F20" s="26" t="n">
        <x:f>'Source'!F20</x:f>
        <x:v>1128.4</x:v>
      </x:c>
      <x:c r="G20" s="26" t="n">
        <x:f>'Source'!G20</x:f>
        <x:v>611.05</x:v>
      </x:c>
      <x:c r="H20" s="27" t="n">
        <x:f>'Source'!H20</x:f>
        <x:v>76380</x:v>
      </x:c>
      <x:c r="I20" s="27" t="n">
        <x:f>'Source'!I20</x:f>
        <x:v>82820</x:v>
      </x:c>
      <x:c r="J20" s="28" t="n">
        <x:f>E20*F20</x:f>
        <x:v>345290.4</x:v>
      </x:c>
      <x:c r="K20" s="28" t="n">
        <x:f>E20*G20</x:f>
        <x:v>186981.3</x:v>
      </x:c>
      <x:c r="L20" s="28" t="n">
        <x:f>J20-SUM(K20,H20:I20)</x:f>
        <x:v>-890.8999999999651</x:v>
      </x:c>
      <x:c r="M20" s="24" t="n">
        <x:v>1.02</x:v>
      </x:c>
      <x:c r="N20" s="24" t="n">
        <x:v>76000</x:v>
      </x:c>
    </x:row>
    <x:row r="21" ht="22" customHeight="1">
      <x:c r="A21" s="1"/>
      <x:c r="B21" s="1"/>
      <x:c r="C21" s="20" t="d">
        <x:v>2026-05-01T00:00:00.000Z</x:v>
      </x:c>
      <x:c r="D21" s="1" t="str">
        <x:v>Services</x:v>
      </x:c>
      <x:c r="E21" s="25" t="n">
        <x:f>'Source'!E21</x:f>
        <x:v>551</x:v>
      </x:c>
      <x:c r="F21" s="26" t="n">
        <x:f>'Source'!F21</x:f>
        <x:v>287.14</x:v>
      </x:c>
      <x:c r="G21" s="26" t="n">
        <x:f>'Source'!G21</x:f>
        <x:v>109.08</x:v>
      </x:c>
      <x:c r="H21" s="27" t="n">
        <x:f>'Source'!H21</x:f>
        <x:v>42210</x:v>
      </x:c>
      <x:c r="I21" s="27" t="n">
        <x:f>'Source'!I21</x:f>
        <x:v>51510</x:v>
      </x:c>
      <x:c r="J21" s="28" t="n">
        <x:f>E21*F21</x:f>
        <x:v>158214.13999999998</x:v>
      </x:c>
      <x:c r="K21" s="28" t="n">
        <x:f>E21*G21</x:f>
        <x:v>60103.08</x:v>
      </x:c>
      <x:c r="L21" s="28" t="n">
        <x:f>J21-SUM(K21,H21:I21)</x:f>
        <x:v>4391.059999999969</x:v>
      </x:c>
      <x:c r="M21" s="24" t="n">
        <x:v>1.02</x:v>
      </x:c>
      <x:c r="N21" s="24" t="n">
        <x:v>42000</x:v>
      </x:c>
    </x:row>
    <x:row r="22" ht="22" customHeight="1">
      <x:c r="A22" s="1"/>
      <x:c r="B22" s="1"/>
      <x:c r="C22" s="20" t="d">
        <x:v>2026-06-01T00:00:00.000Z</x:v>
      </x:c>
      <x:c r="D22" s="1" t="str">
        <x:v>Core</x:v>
      </x:c>
      <x:c r="E22" s="25" t="n">
        <x:f>'Source'!E22</x:f>
        <x:v>912</x:v>
      </x:c>
      <x:c r="F22" s="26" t="n">
        <x:f>'Source'!F22</x:f>
        <x:v>413.69</x:v>
      </x:c>
      <x:c r="G22" s="26" t="n">
        <x:f>'Source'!G22</x:f>
        <x:v>250.98</x:v>
      </x:c>
      <x:c r="H22" s="27" t="n">
        <x:f>'Source'!H22</x:f>
        <x:v>89534</x:v>
      </x:c>
      <x:c r="I22" s="27" t="n">
        <x:f>'Source'!I22</x:f>
        <x:v>61732</x:v>
      </x:c>
      <x:c r="J22" s="28" t="n">
        <x:f>E22*F22</x:f>
        <x:v>377285.27999999997</x:v>
      </x:c>
      <x:c r="K22" s="28" t="n">
        <x:f>E22*G22</x:f>
        <x:v>228893.75999999998</x:v>
      </x:c>
      <x:c r="L22" s="28" t="n">
        <x:f>J22-SUM(K22,H22:I22)</x:f>
        <x:v>-2874.4800000000396</x:v>
      </x:c>
      <x:c r="M22" s="24" t="n">
        <x:v>1</x:v>
      </x:c>
      <x:c r="N22" s="24" t="n">
        <x:v>89000</x:v>
      </x:c>
    </x:row>
    <x:row r="23" ht="22" customHeight="1">
      <x:c r="A23" s="1"/>
      <x:c r="B23" s="1"/>
      <x:c r="C23" s="20" t="d">
        <x:v>2026-06-01T00:00:00.000Z</x:v>
      </x:c>
      <x:c r="D23" s="1" t="str">
        <x:v>Enterprise</x:v>
      </x:c>
      <x:c r="E23" s="25" t="n">
        <x:f>'Source'!E23</x:f>
        <x:v>302</x:v>
      </x:c>
      <x:c r="F23" s="26" t="n">
        <x:f>'Source'!F23</x:f>
        <x:v>1130.08</x:v>
      </x:c>
      <x:c r="G23" s="26" t="n">
        <x:f>'Source'!G23</x:f>
        <x:v>612.26</x:v>
      </x:c>
      <x:c r="H23" s="27" t="n">
        <x:f>'Source'!H23</x:f>
        <x:v>76456</x:v>
      </x:c>
      <x:c r="I23" s="27" t="n">
        <x:f>'Source'!I23</x:f>
        <x:v>82984</x:v>
      </x:c>
      <x:c r="J23" s="28" t="n">
        <x:f>E23*F23</x:f>
        <x:v>341284.16</x:v>
      </x:c>
      <x:c r="K23" s="28" t="n">
        <x:f>E23*G23</x:f>
        <x:v>184902.52</x:v>
      </x:c>
      <x:c r="L23" s="28" t="n">
        <x:f>J23-SUM(K23,H23:I23)</x:f>
        <x:v>-3058.3600000000442</x:v>
      </x:c>
      <x:c r="M23" s="24" t="n">
        <x:v>1</x:v>
      </x:c>
      <x:c r="N23" s="24" t="n">
        <x:v>76000</x:v>
      </x:c>
    </x:row>
    <x:row r="24" ht="22" customHeight="1">
      <x:c r="A24" s="1"/>
      <x:c r="B24" s="1"/>
      <x:c r="C24" s="20" t="d">
        <x:v>2026-06-01T00:00:00.000Z</x:v>
      </x:c>
      <x:c r="D24" s="1" t="str">
        <x:v>Services</x:v>
      </x:c>
      <x:c r="E24" s="25" t="n">
        <x:f>'Source'!E24</x:f>
        <x:v>543</x:v>
      </x:c>
      <x:c r="F24" s="26" t="n">
        <x:f>'Source'!F24</x:f>
        <x:v>287.56</x:v>
      </x:c>
      <x:c r="G24" s="26" t="n">
        <x:f>'Source'!G24</x:f>
        <x:v>109.3</x:v>
      </x:c>
      <x:c r="H24" s="27" t="n">
        <x:f>'Source'!H24</x:f>
        <x:v>42252</x:v>
      </x:c>
      <x:c r="I24" s="27" t="n">
        <x:f>'Source'!I24</x:f>
        <x:v>51612</x:v>
      </x:c>
      <x:c r="J24" s="28" t="n">
        <x:f>E24*F24</x:f>
        <x:v>156145.08</x:v>
      </x:c>
      <x:c r="K24" s="28" t="n">
        <x:f>E24*G24</x:f>
        <x:v>59349.9</x:v>
      </x:c>
      <x:c r="L24" s="28" t="n">
        <x:f>J24-SUM(K24,H24:I24)</x:f>
        <x:v>2931.179999999993</x:v>
      </x:c>
      <x:c r="M24" s="24" t="n">
        <x:v>1</x:v>
      </x:c>
      <x:c r="N24" s="24" t="n">
        <x:v>42000</x:v>
      </x:c>
    </x:row>
    <x:row r="25" ht="22" customHeight="1">
      <x:c r="A25" s="1"/>
      <x:c r="B25" s="1"/>
      <x:c r="C25" s="20" t="d">
        <x:v>2026-07-01T00:00:00.000Z</x:v>
      </x:c>
      <x:c r="D25" s="1" t="str">
        <x:v>Core</x:v>
      </x:c>
      <x:c r="E25" s="25" t="n">
        <x:f>ROUND(E22*(1+'Assumptions'!$D$8)^1*M25/M22,0)</x:f>
        <x:v>932</x:v>
      </x:c>
      <x:c r="F25" s="26" t="n">
        <x:f>F22*(1+'Assumptions'!$D$13)^1</x:f>
        <x:v>421.13642</x:v>
      </x:c>
      <x:c r="G25" s="26" t="n">
        <x:f>G22*(1+'Assumptions'!$D$18)^1</x:f>
        <x:v>257.25449999999995</x:v>
      </x:c>
      <x:c r="H25" s="27" t="n">
        <x:f>N25*(1+0.001*7)*(1+'Assumptions'!$D$18*0.35)^1</x:f>
        <x:v>90407.20124999998</x:v>
      </x:c>
      <x:c r="I25" s="27" t="n">
        <x:f>'Source'!I22/(1+0.002*6)*(1+0.002*7)*(1+'Assumptions'!$D$23)^1</x:f>
        <x:v>63091.08</x:v>
      </x:c>
      <x:c r="J25" s="28" t="n">
        <x:f>E25*F25</x:f>
        <x:v>392499.14344</x:v>
      </x:c>
      <x:c r="K25" s="28" t="n">
        <x:f>E25*G25</x:f>
        <x:v>239761.19399999996</x:v>
      </x:c>
      <x:c r="L25" s="28" t="n">
        <x:f>J25-SUM(K25,H25:I25)</x:f>
        <x:v>-760.3318099999451</x:v>
      </x:c>
      <x:c r="M25" s="24" t="n">
        <x:v>1.01</x:v>
      </x:c>
      <x:c r="N25" s="24" t="n">
        <x:v>89000</x:v>
      </x:c>
    </x:row>
    <x:row r="26" ht="22" customHeight="1">
      <x:c r="A26" s="1"/>
      <x:c r="B26" s="1"/>
      <x:c r="C26" s="20" t="d">
        <x:v>2026-07-01T00:00:00.000Z</x:v>
      </x:c>
      <x:c r="D26" s="1" t="str">
        <x:v>Enterprise</x:v>
      </x:c>
      <x:c r="E26" s="25" t="n">
        <x:f>ROUND(E23*(1+'Assumptions'!$D$8)^1*M26/M23,0)</x:f>
        <x:v>309</x:v>
      </x:c>
      <x:c r="F26" s="26" t="n">
        <x:f>F23*(1+'Assumptions'!$D$13)^1</x:f>
        <x:v>1150.4214399999998</x:v>
      </x:c>
      <x:c r="G26" s="26" t="n">
        <x:f>G23*(1+'Assumptions'!$D$18)^1</x:f>
        <x:v>627.5664999999999</x:v>
      </x:c>
      <x:c r="H26" s="27" t="n">
        <x:f>N26*(1+0.001*7)*(1+'Assumptions'!$D$18*0.35)^1</x:f>
        <x:v>77201.65499999998</x:v>
      </x:c>
      <x:c r="I26" s="27" t="n">
        <x:f>'Source'!I23/(1+0.002*6)*(1+0.002*7)*(1+'Assumptions'!$D$23)^1</x:f>
        <x:v>84810.96</x:v>
      </x:c>
      <x:c r="J26" s="28" t="n">
        <x:f>E26*F26</x:f>
        <x:v>355480.22495999996</x:v>
      </x:c>
      <x:c r="K26" s="28" t="n">
        <x:f>E26*G26</x:f>
        <x:v>193918.04849999998</x:v>
      </x:c>
      <x:c r="L26" s="28" t="n">
        <x:f>J26-SUM(K26,H26:I26)</x:f>
        <x:v>-450.43854000000283</x:v>
      </x:c>
      <x:c r="M26" s="24" t="n">
        <x:v>1.01</x:v>
      </x:c>
      <x:c r="N26" s="24" t="n">
        <x:v>76000</x:v>
      </x:c>
    </x:row>
    <x:row r="27" ht="22" customHeight="1">
      <x:c r="A27" s="1"/>
      <x:c r="B27" s="1"/>
      <x:c r="C27" s="20" t="d">
        <x:v>2026-07-01T00:00:00.000Z</x:v>
      </x:c>
      <x:c r="D27" s="1" t="str">
        <x:v>Services</x:v>
      </x:c>
      <x:c r="E27" s="25" t="n">
        <x:f>ROUND(E24*(1+'Assumptions'!$D$8)^1*M27/M24,0)</x:f>
        <x:v>555</x:v>
      </x:c>
      <x:c r="F27" s="26" t="n">
        <x:f>F24*(1+'Assumptions'!$D$13)^1</x:f>
        <x:v>292.73608</x:v>
      </x:c>
      <x:c r="G27" s="26" t="n">
        <x:f>G24*(1+'Assumptions'!$D$18)^1</x:f>
        <x:v>112.03249999999998</x:v>
      </x:c>
      <x:c r="H27" s="27" t="n">
        <x:f>N27*(1+0.001*7)*(1+'Assumptions'!$D$18*0.35)^1</x:f>
        <x:v>42664.072499999995</x:v>
      </x:c>
      <x:c r="I27" s="27" t="n">
        <x:f>'Source'!I24/(1+0.002*6)*(1+0.002*7)*(1+'Assumptions'!$D$23)^1</x:f>
        <x:v>52748.28</x:v>
      </x:c>
      <x:c r="J27" s="28" t="n">
        <x:f>E27*F27</x:f>
        <x:v>162468.5244</x:v>
      </x:c>
      <x:c r="K27" s="28" t="n">
        <x:f>E27*G27</x:f>
        <x:v>62178.03749999999</x:v>
      </x:c>
      <x:c r="L27" s="28" t="n">
        <x:f>J27-SUM(K27,H27:I27)</x:f>
        <x:v>4878.13440000001</x:v>
      </x:c>
      <x:c r="M27" s="24" t="n">
        <x:v>1.01</x:v>
      </x:c>
      <x:c r="N27" s="24" t="n">
        <x:v>42000</x:v>
      </x:c>
    </x:row>
    <x:row r="28" ht="22" customHeight="1">
      <x:c r="A28" s="1"/>
      <x:c r="B28" s="1"/>
      <x:c r="C28" s="20" t="d">
        <x:v>2026-08-01T00:00:00.000Z</x:v>
      </x:c>
      <x:c r="D28" s="1" t="str">
        <x:v>Core</x:v>
      </x:c>
      <x:c r="E28" s="25" t="n">
        <x:f>ROUND(E22*(1+'Assumptions'!$D$8)^2*M28/M22,0)</x:f>
        <x:v>971</x:v>
      </x:c>
      <x:c r="F28" s="26" t="n">
        <x:f>F22*(1+'Assumptions'!$D$13)^2</x:f>
        <x:v>428.71687556</x:v>
      </x:c>
      <x:c r="G28" s="26" t="n">
        <x:f>G22*(1+'Assumptions'!$D$18)^2</x:f>
        <x:v>263.6858625</x:v>
      </x:c>
      <x:c r="H28" s="27" t="n">
        <x:f>N28*(1+0.001*8)*(1+'Assumptions'!$D$18*0.35)^2</x:f>
        <x:v>91288.82857500002</x:v>
      </x:c>
      <x:c r="I28" s="27" t="n">
        <x:f>'Source'!I22/(1+0.002*6)*(1+0.002*8)*(1+'Assumptions'!$D$23)^2</x:f>
        <x:v>64479.8304</x:v>
      </x:c>
      <x:c r="J28" s="28" t="n">
        <x:f>E28*F28</x:f>
        <x:v>416284.08616876</x:v>
      </x:c>
      <x:c r="K28" s="28" t="n">
        <x:f>E28*G28</x:f>
        <x:v>256038.9724875</x:v>
      </x:c>
      <x:c r="L28" s="28" t="n">
        <x:f>J28-SUM(K28,H28:I28)</x:f>
        <x:v>4476.454706260003</x:v>
      </x:c>
      <x:c r="M28" s="24" t="n">
        <x:v>1.04</x:v>
      </x:c>
      <x:c r="N28" s="24" t="n">
        <x:v>89000</x:v>
      </x:c>
    </x:row>
    <x:row r="29" ht="22" customHeight="1">
      <x:c r="A29" s="1"/>
      <x:c r="B29" s="1"/>
      <x:c r="C29" s="20" t="d">
        <x:v>2026-08-01T00:00:00.000Z</x:v>
      </x:c>
      <x:c r="D29" s="1" t="str">
        <x:v>Enterprise</x:v>
      </x:c>
      <x:c r="E29" s="25" t="n">
        <x:f>ROUND(E23*(1+'Assumptions'!$D$8)^2*M29/M23,0)</x:f>
        <x:v>322</x:v>
      </x:c>
      <x:c r="F29" s="26" t="n">
        <x:f>F23*(1+'Assumptions'!$D$13)^2</x:f>
        <x:v>1171.12902592</x:v>
      </x:c>
      <x:c r="G29" s="26" t="n">
        <x:f>G23*(1+'Assumptions'!$D$18)^2</x:f>
        <x:v>643.2556625</x:v>
      </x:c>
      <x:c r="H29" s="27" t="n">
        <x:f>N29*(1+0.001*8)*(1+'Assumptions'!$D$18*0.35)^2</x:f>
        <x:v>77954.50530000002</x:v>
      </x:c>
      <x:c r="I29" s="27" t="n">
        <x:f>'Source'!I23/(1+0.002*6)*(1+0.002*8)*(1+'Assumptions'!$D$23)^2</x:f>
        <x:v>86677.8048</x:v>
      </x:c>
      <x:c r="J29" s="28" t="n">
        <x:f>E29*F29</x:f>
        <x:v>377103.54634624</x:v>
      </x:c>
      <x:c r="K29" s="28" t="n">
        <x:f>E29*G29</x:f>
        <x:v>207128.323325</x:v>
      </x:c>
      <x:c r="L29" s="28" t="n">
        <x:f>J29-SUM(K29,H29:I29)</x:f>
        <x:v>5342.912921239971</x:v>
      </x:c>
      <x:c r="M29" s="24" t="n">
        <x:v>1.04</x:v>
      </x:c>
      <x:c r="N29" s="24" t="n">
        <x:v>76000</x:v>
      </x:c>
    </x:row>
    <x:row r="30" ht="22" customHeight="1">
      <x:c r="A30" s="1"/>
      <x:c r="B30" s="1"/>
      <x:c r="C30" s="20" t="d">
        <x:v>2026-08-01T00:00:00.000Z</x:v>
      </x:c>
      <x:c r="D30" s="1" t="str">
        <x:v>Services</x:v>
      </x:c>
      <x:c r="E30" s="25" t="n">
        <x:f>ROUND(E24*(1+'Assumptions'!$D$8)^2*M30/M24,0)</x:f>
        <x:v>578</x:v>
      </x:c>
      <x:c r="F30" s="26" t="n">
        <x:f>F24*(1+'Assumptions'!$D$13)^2</x:f>
        <x:v>298.00532944</x:v>
      </x:c>
      <x:c r="G30" s="26" t="n">
        <x:f>G24*(1+'Assumptions'!$D$18)^2</x:f>
        <x:v>114.83331249999999</x:v>
      </x:c>
      <x:c r="H30" s="27" t="n">
        <x:f>N30*(1+0.001*8)*(1+'Assumptions'!$D$18*0.35)^2</x:f>
        <x:v>43080.12135000001</x:v>
      </x:c>
      <x:c r="I30" s="27" t="n">
        <x:f>'Source'!I24/(1+0.002*6)*(1+0.002*8)*(1+'Assumptions'!$D$23)^2</x:f>
        <x:v>53909.3664</x:v>
      </x:c>
      <x:c r="J30" s="28" t="n">
        <x:f>E30*F30</x:f>
        <x:v>172247.08041632</x:v>
      </x:c>
      <x:c r="K30" s="28" t="n">
        <x:f>E30*G30</x:f>
        <x:v>66373.654625</x:v>
      </x:c>
      <x:c r="L30" s="28" t="n">
        <x:f>J30-SUM(K30,H30:I30)</x:f>
        <x:v>8883.938041320012</x:v>
      </x:c>
      <x:c r="M30" s="24" t="n">
        <x:v>1.04</x:v>
      </x:c>
      <x:c r="N30" s="24" t="n">
        <x:v>42000</x:v>
      </x:c>
    </x:row>
    <x:row r="31" ht="22" customHeight="1">
      <x:c r="A31" s="1"/>
      <x:c r="B31" s="1"/>
      <x:c r="C31" s="20" t="d">
        <x:v>2026-09-01T00:00:00.000Z</x:v>
      </x:c>
      <x:c r="D31" s="1" t="str">
        <x:v>Core</x:v>
      </x:c>
      <x:c r="E31" s="25" t="n">
        <x:f>ROUND(E22*(1+'Assumptions'!$D$8)^3*M31/M22,0)</x:f>
        <x:v>955</x:v>
      </x:c>
      <x:c r="F31" s="26" t="n">
        <x:f>F22*(1+'Assumptions'!$D$13)^3</x:f>
        <x:v>436.43377932008</x:v>
      </x:c>
      <x:c r="G31" s="26" t="n">
        <x:f>G22*(1+'Assumptions'!$D$18)^3</x:f>
        <x:v>270.2780090624999</x:v>
      </x:c>
      <x:c r="H31" s="27" t="n">
        <x:f>N31*(1+0.001*9)*(1+'Assumptions'!$D$18*0.35)^3</x:f>
        <x:v>92178.96257684179</x:v>
      </x:c>
      <x:c r="I31" s="27" t="n">
        <x:f>'Source'!I22/(1+0.002*6)*(1+0.002*9)*(1+'Assumptions'!$D$23)^3</x:f>
        <x:v>65898.89438400001</x:v>
      </x:c>
      <x:c r="J31" s="28" t="n">
        <x:f>E31*F31</x:f>
        <x:v>416794.25925067643</x:v>
      </x:c>
      <x:c r="K31" s="28" t="n">
        <x:f>E31*G31</x:f>
        <x:v>258115.4986546874</x:v>
      </x:c>
      <x:c r="L31" s="28" t="n">
        <x:f>J31-SUM(K31,H31:I31)</x:f>
        <x:v>600.9036351472023</x:v>
      </x:c>
      <x:c r="M31" s="24" t="n">
        <x:v>1.01</x:v>
      </x:c>
      <x:c r="N31" s="24" t="n">
        <x:v>89000</x:v>
      </x:c>
    </x:row>
    <x:row r="32" ht="22" customHeight="1">
      <x:c r="A32" s="1"/>
      <x:c r="B32" s="1"/>
      <x:c r="C32" s="20" t="d">
        <x:v>2026-09-01T00:00:00.000Z</x:v>
      </x:c>
      <x:c r="D32" s="1" t="str">
        <x:v>Enterprise</x:v>
      </x:c>
      <x:c r="E32" s="25" t="n">
        <x:f>ROUND(E23*(1+'Assumptions'!$D$8)^3*M32/M23,0)</x:f>
        <x:v>316</x:v>
      </x:c>
      <x:c r="F32" s="26" t="n">
        <x:f>F23*(1+'Assumptions'!$D$13)^3</x:f>
        <x:v>1192.20934838656</x:v>
      </x:c>
      <x:c r="G32" s="26" t="n">
        <x:f>G23*(1+'Assumptions'!$D$18)^3</x:f>
        <x:v>659.3370540624998</x:v>
      </x:c>
      <x:c r="H32" s="27" t="n">
        <x:f>N32*(1+0.001*9)*(1+'Assumptions'!$D$18*0.35)^3</x:f>
        <x:v>78714.61972853905</x:v>
      </x:c>
      <x:c r="I32" s="27" t="n">
        <x:f>'Source'!I23/(1+0.002*6)*(1+0.002*9)*(1+'Assumptions'!$D$23)^3</x:f>
        <x:v>88585.39900800001</x:v>
      </x:c>
      <x:c r="J32" s="28" t="n">
        <x:f>E32*F32</x:f>
        <x:v>376738.15409015294</x:v>
      </x:c>
      <x:c r="K32" s="28" t="n">
        <x:f>E32*G32</x:f>
        <x:v>208350.50908374993</x:v>
      </x:c>
      <x:c r="L32" s="28" t="n">
        <x:f>J32-SUM(K32,H32:I32)</x:f>
        <x:v>1087.6262698639184</x:v>
      </x:c>
      <x:c r="M32" s="24" t="n">
        <x:v>1.01</x:v>
      </x:c>
      <x:c r="N32" s="24" t="n">
        <x:v>76000</x:v>
      </x:c>
    </x:row>
    <x:row r="33" ht="22" customHeight="1">
      <x:c r="A33" s="1"/>
      <x:c r="B33" s="1"/>
      <x:c r="C33" s="20" t="d">
        <x:v>2026-09-01T00:00:00.000Z</x:v>
      </x:c>
      <x:c r="D33" s="1" t="str">
        <x:v>Services</x:v>
      </x:c>
      <x:c r="E33" s="25" t="n">
        <x:f>ROUND(E24*(1+'Assumptions'!$D$8)^3*M33/M24,0)</x:f>
        <x:v>568</x:v>
      </x:c>
      <x:c r="F33" s="26" t="n">
        <x:f>F24*(1+'Assumptions'!$D$13)^3</x:f>
        <x:v>303.36942536992</x:v>
      </x:c>
      <x:c r="G33" s="26" t="n">
        <x:f>G24*(1+'Assumptions'!$D$18)^3</x:f>
        <x:v>117.70414531249996</x:v>
      </x:c>
      <x:c r="H33" s="27" t="n">
        <x:f>N33*(1+0.001*9)*(1+'Assumptions'!$D$18*0.35)^3</x:f>
        <x:v>43500.184586824216</x:v>
      </x:c>
      <x:c r="I33" s="27" t="n">
        <x:f>'Source'!I24/(1+0.002*6)*(1+0.002*9)*(1+'Assumptions'!$D$23)^3</x:f>
        <x:v>55095.79694400001</x:v>
      </x:c>
      <x:c r="J33" s="28" t="n">
        <x:f>E33*F33</x:f>
        <x:v>172313.83361011455</x:v>
      </x:c>
      <x:c r="K33" s="28" t="n">
        <x:f>E33*G33</x:f>
        <x:v>66855.95453749997</x:v>
      </x:c>
      <x:c r="L33" s="28" t="n">
        <x:f>J33-SUM(K33,H33:I33)</x:f>
        <x:v>6861.897541790357</x:v>
      </x:c>
      <x:c r="M33" s="24" t="n">
        <x:v>1.01</x:v>
      </x:c>
      <x:c r="N33" s="24" t="n">
        <x:v>42000</x:v>
      </x:c>
    </x:row>
    <x:row r="34" ht="22" customHeight="1">
      <x:c r="A34" s="1"/>
      <x:c r="B34" s="1"/>
      <x:c r="C34" s="20" t="d">
        <x:v>2026-10-01T00:00:00.000Z</x:v>
      </x:c>
      <x:c r="D34" s="1" t="str">
        <x:v>Core</x:v>
      </x:c>
      <x:c r="E34" s="25" t="n">
        <x:f>ROUND(E22*(1+'Assumptions'!$D$8)^4*M34/M22,0)</x:f>
        <x:v>1033</x:v>
      </x:c>
      <x:c r="F34" s="26" t="n">
        <x:f>F22*(1+'Assumptions'!$D$13)^4</x:f>
        <x:v>444.28958734784146</x:v>
      </x:c>
      <x:c r="G34" s="26" t="n">
        <x:f>G22*(1+'Assumptions'!$D$18)^4</x:f>
        <x:v>277.0349592890624</x:v>
      </x:c>
      <x:c r="H34" s="27" t="n">
        <x:f>N34*(1+0.001*10)*(1+'Assumptions'!$D$18*0.35)^4</x:f>
        <x:v>93077.68462277806</x:v>
      </x:c>
      <x:c r="I34" s="27" t="n">
        <x:f>'Source'!I22/(1+0.002*6)*(1+0.002*10)*(1+'Assumptions'!$D$23)^4</x:f>
        <x:v>67348.9289952</x:v>
      </x:c>
      <x:c r="J34" s="28" t="n">
        <x:f>E34*F34</x:f>
        <x:v>458951.1437303202</x:v>
      </x:c>
      <x:c r="K34" s="28" t="n">
        <x:f>E34*G34</x:f>
        <x:v>286177.11294560146</x:v>
      </x:c>
      <x:c r="L34" s="28" t="n">
        <x:f>J34-SUM(K34,H34:I34)</x:f>
        <x:v>12347.417166740692</x:v>
      </x:c>
      <x:c r="M34" s="24" t="n">
        <x:v>1.08</x:v>
      </x:c>
      <x:c r="N34" s="24" t="n">
        <x:v>89000</x:v>
      </x:c>
    </x:row>
    <x:row r="35" ht="22" customHeight="1">
      <x:c r="A35" s="1"/>
      <x:c r="B35" s="1"/>
      <x:c r="C35" s="20" t="d">
        <x:v>2026-10-01T00:00:00.000Z</x:v>
      </x:c>
      <x:c r="D35" s="1" t="str">
        <x:v>Enterprise</x:v>
      </x:c>
      <x:c r="E35" s="25" t="n">
        <x:f>ROUND(E23*(1+'Assumptions'!$D$8)^4*M35/M23,0)</x:f>
        <x:v>342</x:v>
      </x:c>
      <x:c r="F35" s="26" t="n">
        <x:f>F23*(1+'Assumptions'!$D$13)^4</x:f>
        <x:v>1213.669116657518</x:v>
      </x:c>
      <x:c r="G35" s="26" t="n">
        <x:f>G23*(1+'Assumptions'!$D$18)^4</x:f>
        <x:v>675.8204804140622</x:v>
      </x:c>
      <x:c r="H35" s="27" t="n">
        <x:f>N35*(1+0.001*10)*(1+'Assumptions'!$D$18*0.35)^4</x:f>
        <x:v>79482.06776776553</x:v>
      </x:c>
      <x:c r="I35" s="27" t="n">
        <x:f>'Source'!I23/(1+0.002*6)*(1+0.002*10)*(1+'Assumptions'!$D$23)^4</x:f>
        <x:v>90534.6258624</x:v>
      </x:c>
      <x:c r="J35" s="28" t="n">
        <x:f>E35*F35</x:f>
        <x:v>415074.8378968712</x:v>
      </x:c>
      <x:c r="K35" s="28" t="n">
        <x:f>E35*G35</x:f>
        <x:v>231130.60430160927</x:v>
      </x:c>
      <x:c r="L35" s="28" t="n">
        <x:f>J35-SUM(K35,H35:I35)</x:f>
        <x:v>13927.539965096395</x:v>
      </x:c>
      <x:c r="M35" s="24" t="n">
        <x:v>1.08</x:v>
      </x:c>
      <x:c r="N35" s="24" t="n">
        <x:v>76000</x:v>
      </x:c>
    </x:row>
    <x:row r="36" ht="22" customHeight="1">
      <x:c r="A36" s="1"/>
      <x:c r="B36" s="1"/>
      <x:c r="C36" s="20" t="d">
        <x:v>2026-10-01T00:00:00.000Z</x:v>
      </x:c>
      <x:c r="D36" s="1" t="str">
        <x:v>Services</x:v>
      </x:c>
      <x:c r="E36" s="25" t="n">
        <x:f>ROUND(E24*(1+'Assumptions'!$D$8)^4*M36/M24,0)</x:f>
        <x:v>615</x:v>
      </x:c>
      <x:c r="F36" s="26" t="n">
        <x:f>F24*(1+'Assumptions'!$D$13)^4</x:f>
        <x:v>308.8300750265786</x:v>
      </x:c>
      <x:c r="G36" s="26" t="n">
        <x:f>G24*(1+'Assumptions'!$D$18)^4</x:f>
        <x:v>120.64674894531245</x:v>
      </x:c>
      <x:c r="H36" s="27" t="n">
        <x:f>N36*(1+0.001*10)*(1+'Assumptions'!$D$18*0.35)^4</x:f>
        <x:v>43924.30060850201</x:v>
      </x:c>
      <x:c r="I36" s="27" t="n">
        <x:f>'Source'!I24/(1+0.002*6)*(1+0.002*10)*(1+'Assumptions'!$D$23)^4</x:f>
        <x:v>56308.120963199995</x:v>
      </x:c>
      <x:c r="J36" s="28" t="n">
        <x:f>E36*F36</x:f>
        <x:v>189930.49614134582</x:v>
      </x:c>
      <x:c r="K36" s="28" t="n">
        <x:f>E36*G36</x:f>
        <x:v>74197.75060136715</x:v>
      </x:c>
      <x:c r="L36" s="28" t="n">
        <x:f>J36-SUM(K36,H36:I36)</x:f>
        <x:v>15500.323968276673</x:v>
      </x:c>
      <x:c r="M36" s="24" t="n">
        <x:v>1.08</x:v>
      </x:c>
      <x:c r="N36" s="24" t="n">
        <x:v>42000</x:v>
      </x:c>
    </x:row>
    <x:row r="37" ht="22" customHeight="1">
      <x:c r="A37" s="1"/>
      <x:c r="B37" s="1"/>
      <x:c r="C37" s="20" t="d">
        <x:v>2026-11-01T00:00:00.000Z</x:v>
      </x:c>
      <x:c r="D37" s="1" t="str">
        <x:v>Core</x:v>
      </x:c>
      <x:c r="E37" s="25" t="n">
        <x:f>ROUND(E22*(1+'Assumptions'!$D$8)^5*M37/M22,0)</x:f>
        <x:v>1094</x:v>
      </x:c>
      <x:c r="F37" s="26" t="n">
        <x:f>F22*(1+'Assumptions'!$D$13)^5</x:f>
        <x:v>452.2867999201026</x:v>
      </x:c>
      <x:c r="G37" s="26" t="n">
        <x:f>G22*(1+'Assumptions'!$D$18)^5</x:f>
        <x:v>283.9608332712889</x:v>
      </x:c>
      <x:c r="H37" s="27" t="n">
        <x:f>N37*(1+0.001*11)*(1+'Assumptions'!$D$18*0.35)^5</x:f>
        <x:v>93985.0768526959</x:v>
      </x:c>
      <x:c r="I37" s="27" t="n">
        <x:f>'Source'!I22/(1+0.002*6)*(1+0.002*11)*(1+'Assumptions'!$D$23)^5</x:f>
        <x:v>68830.6054330944</x:v>
      </x:c>
      <x:c r="J37" s="28" t="n">
        <x:f>E37*F37</x:f>
        <x:v>494801.75911259226</x:v>
      </x:c>
      <x:c r="K37" s="28" t="n">
        <x:f>E37*G37</x:f>
        <x:v>310653.15159879</x:v>
      </x:c>
      <x:c r="L37" s="28" t="n">
        <x:f>J37-SUM(K37,H37:I37)</x:f>
        <x:v>21332.92522801197</x:v>
      </x:c>
      <x:c r="M37" s="24" t="n">
        <x:v>1.13</x:v>
      </x:c>
      <x:c r="N37" s="24" t="n">
        <x:v>89000</x:v>
      </x:c>
    </x:row>
    <x:row r="38" ht="22" customHeight="1">
      <x:c r="A38" s="1"/>
      <x:c r="B38" s="1"/>
      <x:c r="C38" s="20" t="d">
        <x:v>2026-11-01T00:00:00.000Z</x:v>
      </x:c>
      <x:c r="D38" s="1" t="str">
        <x:v>Enterprise</x:v>
      </x:c>
      <x:c r="E38" s="25" t="n">
        <x:f>ROUND(E23*(1+'Assumptions'!$D$8)^5*M38/M23,0)</x:f>
        <x:v>362</x:v>
      </x:c>
      <x:c r="F38" s="26" t="n">
        <x:f>F23*(1+'Assumptions'!$D$13)^5</x:f>
        <x:v>1235.5151607573534</x:v>
      </x:c>
      <x:c r="G38" s="26" t="n">
        <x:f>G23*(1+'Assumptions'!$D$18)^5</x:f>
        <x:v>692.7159924244137</x:v>
      </x:c>
      <x:c r="H38" s="27" t="n">
        <x:f>N38*(1+0.001*11)*(1+'Assumptions'!$D$18*0.35)^5</x:f>
        <x:v>80256.91955960548</x:v>
      </x:c>
      <x:c r="I38" s="27" t="n">
        <x:f>'Source'!I23/(1+0.002*6)*(1+0.002*11)*(1+'Assumptions'!$D$23)^5</x:f>
        <x:v>92526.3876313728</x:v>
      </x:c>
      <x:c r="J38" s="28" t="n">
        <x:f>E38*F38</x:f>
        <x:v>447256.48819416197</x:v>
      </x:c>
      <x:c r="K38" s="28" t="n">
        <x:f>E38*G38</x:f>
        <x:v>250763.18925763774</x:v>
      </x:c>
      <x:c r="L38" s="28" t="n">
        <x:f>J38-SUM(K38,H38:I38)</x:f>
        <x:v>23709.991745545936</x:v>
      </x:c>
      <x:c r="M38" s="24" t="n">
        <x:v>1.13</x:v>
      </x:c>
      <x:c r="N38" s="24" t="n">
        <x:v>76000</x:v>
      </x:c>
    </x:row>
    <x:row r="39" ht="22" customHeight="1">
      <x:c r="A39" s="1"/>
      <x:c r="B39" s="1"/>
      <x:c r="C39" s="20" t="d">
        <x:v>2026-11-01T00:00:00.000Z</x:v>
      </x:c>
      <x:c r="D39" s="1" t="str">
        <x:v>Services</x:v>
      </x:c>
      <x:c r="E39" s="25" t="n">
        <x:f>ROUND(E24*(1+'Assumptions'!$D$8)^5*M39/M24,0)</x:f>
        <x:v>651</x:v>
      </x:c>
      <x:c r="F39" s="26" t="n">
        <x:f>F24*(1+'Assumptions'!$D$13)^5</x:f>
        <x:v>314.38901637705703</x:v>
      </x:c>
      <x:c r="G39" s="26" t="n">
        <x:f>G24*(1+'Assumptions'!$D$18)^5</x:f>
        <x:v>123.66291766894524</x:v>
      </x:c>
      <x:c r="H39" s="27" t="n">
        <x:f>N39*(1+0.001*11)*(1+'Assumptions'!$D$18*0.35)^5</x:f>
        <x:v>44352.50817767672</x:v>
      </x:c>
      <x:c r="I39" s="27" t="n">
        <x:f>'Source'!I24/(1+0.002*6)*(1+0.002*11)*(1+'Assumptions'!$D$23)^5</x:f>
        <x:v>57546.899624390404</x:v>
      </x:c>
      <x:c r="J39" s="28" t="n">
        <x:f>E39*F39</x:f>
        <x:v>204667.24966146413</x:v>
      </x:c>
      <x:c r="K39" s="28" t="n">
        <x:f>E39*G39</x:f>
        <x:v>80504.55940248336</x:v>
      </x:c>
      <x:c r="L39" s="28" t="n">
        <x:f>J39-SUM(K39,H39:I39)</x:f>
        <x:v>22263.282456913672</x:v>
      </x:c>
      <x:c r="M39" s="24" t="n">
        <x:v>1.13</x:v>
      </x:c>
      <x:c r="N39" s="24" t="n">
        <x:v>42000</x:v>
      </x:c>
    </x:row>
    <x:row r="40" ht="22" customHeight="1">
      <x:c r="A40" s="1"/>
      <x:c r="B40" s="1"/>
      <x:c r="C40" s="20" t="d">
        <x:v>2026-12-01T00:00:00.000Z</x:v>
      </x:c>
      <x:c r="D40" s="1" t="str">
        <x:v>Core</x:v>
      </x:c>
      <x:c r="E40" s="25" t="n">
        <x:f>ROUND(E22*(1+'Assumptions'!$D$8)^6*M40/M22,0)</x:f>
        <x:v>1146</x:v>
      </x:c>
      <x:c r="F40" s="26" t="n">
        <x:f>F22*(1+'Assumptions'!$D$13)^6</x:f>
        <x:v>460.42796231866447</x:v>
      </x:c>
      <x:c r="G40" s="26" t="n">
        <x:f>G22*(1+'Assumptions'!$D$18)^6</x:f>
        <x:v>291.05985410307113</x:v>
      </x:c>
      <x:c r="H40" s="27" t="n">
        <x:f>N40*(1+0.001*12)*(1+'Assumptions'!$D$18*0.35)^6</x:f>
        <x:v>94901.22218640841</x:v>
      </x:c>
      <x:c r="I40" s="27" t="n">
        <x:f>'Source'!I22/(1+0.002*6)*(1+0.002*12)*(1+'Assumptions'!$D$23)^6</x:f>
        <x:v>70344.6093569065</x:v>
      </x:c>
      <x:c r="J40" s="28" t="n">
        <x:f>E40*F40</x:f>
        <x:v>527650.4448171895</x:v>
      </x:c>
      <x:c r="K40" s="28" t="n">
        <x:f>E40*G40</x:f>
        <x:v>333554.5928021195</x:v>
      </x:c>
      <x:c r="L40" s="28" t="n">
        <x:f>J40-SUM(K40,H40:I40)</x:f>
        <x:v>28850.020471755066</x:v>
      </x:c>
      <x:c r="M40" s="24" t="n">
        <x:v>1.17</x:v>
      </x:c>
      <x:c r="N40" s="24" t="n">
        <x:v>89000</x:v>
      </x:c>
    </x:row>
    <x:row r="41" ht="22" customHeight="1">
      <x:c r="A41" s="1"/>
      <x:c r="B41" s="1"/>
      <x:c r="C41" s="20" t="d">
        <x:v>2026-12-01T00:00:00.000Z</x:v>
      </x:c>
      <x:c r="D41" s="1" t="str">
        <x:v>Enterprise</x:v>
      </x:c>
      <x:c r="E41" s="25" t="n">
        <x:f>ROUND(E23*(1+'Assumptions'!$D$8)^6*M41/M23,0)</x:f>
        <x:v>380</x:v>
      </x:c>
      <x:c r="F41" s="26" t="n">
        <x:f>F23*(1+'Assumptions'!$D$13)^6</x:f>
        <x:v>1257.7544336509857</x:v>
      </x:c>
      <x:c r="G41" s="26" t="n">
        <x:f>G23*(1+'Assumptions'!$D$18)^6</x:f>
        <x:v>710.033892235024</x:v>
      </x:c>
      <x:c r="H41" s="27" t="n">
        <x:f>N41*(1+0.001*12)*(1+'Assumptions'!$D$18*0.35)^6</x:f>
        <x:v>81039.2459119892</x:v>
      </x:c>
      <x:c r="I41" s="27" t="n">
        <x:f>'Source'!I23/(1+0.002*6)*(1+0.002*12)*(1+'Assumptions'!$D$23)^6</x:f>
        <x:v>94561.60602075956</x:v>
      </x:c>
      <x:c r="J41" s="28" t="n">
        <x:f>E41*F41</x:f>
        <x:v>477946.6847873746</x:v>
      </x:c>
      <x:c r="K41" s="28" t="n">
        <x:f>E41*G41</x:f>
        <x:v>269812.8790493091</x:v>
      </x:c>
      <x:c r="L41" s="28" t="n">
        <x:f>J41-SUM(K41,H41:I41)</x:f>
        <x:v>32532.953805316705</x:v>
      </x:c>
      <x:c r="M41" s="24" t="n">
        <x:v>1.17</x:v>
      </x:c>
      <x:c r="N41" s="24" t="n">
        <x:v>76000</x:v>
      </x:c>
    </x:row>
    <x:row r="42" ht="22" customHeight="1">
      <x:c r="A42" s="1"/>
      <x:c r="B42" s="1"/>
      <x:c r="C42" s="20" t="d">
        <x:v>2026-12-01T00:00:00.000Z</x:v>
      </x:c>
      <x:c r="D42" s="1" t="str">
        <x:v>Services</x:v>
      </x:c>
      <x:c r="E42" s="25" t="n">
        <x:f>ROUND(E24*(1+'Assumptions'!$D$8)^6*M42/M24,0)</x:f>
        <x:v>682</x:v>
      </x:c>
      <x:c r="F42" s="26" t="n">
        <x:f>F24*(1+'Assumptions'!$D$13)^6</x:f>
        <x:v>320.04801867184403</x:v>
      </x:c>
      <x:c r="G42" s="26" t="n">
        <x:f>G24*(1+'Assumptions'!$D$18)^6</x:f>
        <x:v>126.75449061066887</x:v>
      </x:c>
      <x:c r="H42" s="27" t="n">
        <x:f>N42*(1+0.001*12)*(1+'Assumptions'!$D$18*0.35)^6</x:f>
        <x:v>44784.846425046664</x:v>
      </x:c>
      <x:c r="I42" s="27" t="n">
        <x:f>'Source'!I24/(1+0.002*6)*(1+0.002*12)*(1+'Assumptions'!$D$23)^6</x:f>
        <x:v>58812.70618364314</x:v>
      </x:c>
      <x:c r="J42" s="28" t="n">
        <x:f>E42*F42</x:f>
        <x:v>218272.74873419764</x:v>
      </x:c>
      <x:c r="K42" s="28" t="n">
        <x:f>E42*G42</x:f>
        <x:v>86446.56259647617</x:v>
      </x:c>
      <x:c r="L42" s="28" t="n">
        <x:f>J42-SUM(K42,H42:I42)</x:f>
        <x:v>28228.63352903165</x:v>
      </x:c>
      <x:c r="M42" s="24" t="n">
        <x:v>1.17</x:v>
      </x:c>
      <x:c r="N42" s="24" t="n">
        <x:v>42000</x:v>
      </x:c>
    </x:row>
    <x:row r="43" ht="22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</x:row>
    <x:row r="44" ht="22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</x:row>
    <x:row r="45" ht="22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</x:row>
    <x:row r="46" ht="22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</x:row>
    <x:row r="47" ht="22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</x:row>
    <x:row r="48" ht="22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</x:row>
    <x:row r="49" ht="22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</x:row>
    <x:row r="50" ht="22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</x:row>
    <x:row r="51" ht="22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</x:row>
    <x:row r="52" ht="22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</x:row>
    <x:row r="53" ht="22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</x:row>
    <x:row r="54" ht="22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</x:row>
    <x:row r="55" ht="22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</x:row>
    <x:row r="56" ht="22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</x:row>
    <x:row r="57" ht="22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</x:row>
    <x:row r="58" ht="22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</x:row>
    <x:row r="59" ht="22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</x:row>
    <x:row r="60" ht="22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</x:row>
    <x:row r="61" ht="22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</x:row>
    <x:row r="62" ht="22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</x:row>
    <x:row r="63" ht="22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</x:row>
    <x:row r="64" ht="22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</x:row>
    <x:row r="65" ht="22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</x:row>
  </x:sheetData>
  <x:mergeCells>
    <x:mergeCell ref="D4:F4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3" ySplit="6" topLeftCell="D7" activePane="bottomRight" state="frozen"/>
    </x:sheetView>
  </x:sheetViews>
  <x:sheetFormatPr defaultRowHeight="15"/>
  <x:cols>
    <x:col min="1" max="1" width="3" hidden="0" customWidth="1"/>
    <x:col min="2" max="2" width="3" hidden="0" customWidth="1"/>
    <x:col min="3" max="3" width="42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  <x:col min="14" max="14" width="17" hidden="0" customWidth="1"/>
    <x:col min="15" max="15" width="17" hidden="0" customWidth="1"/>
  </x:cols>
  <x:sheetData>
    <x:row r="1" ht="22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</x:row>
    <x:row r="2" ht="22" customHeight="1">
      <x:c r="A2" s="1"/>
      <x:c r="B2" s="1"/>
      <x:c r="C2" s="2" t="str">
        <x:v>Monthly profit and cash forecast</x:v>
      </x:c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</x:row>
    <x:row r="3" ht="22" customHeight="1">
      <x:c r="A3" s="1"/>
      <x:c r="B3" s="1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3"/>
      <x:c r="O3" s="3"/>
    </x:row>
    <x:row r="4" ht="22" customHeight="1">
      <x:c r="A4" s="1"/>
      <x:c r="B4" s="1"/>
      <x:c r="C4" s="1" t="str">
        <x:v>Case selected</x:v>
      </x:c>
      <x:c r="D4" s="7" t="str">
        <x:f>'Assumptions'!D4</x:f>
        <x:v>Base</x:v>
      </x:c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</x:row>
    <x:row r="5" ht="22" customHeight="1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</x:row>
    <x:row r="6" ht="22" customHeight="1">
      <x:c r="A6" s="1"/>
      <x:c r="B6" s="1"/>
      <x:c r="C6" s="1"/>
      <x:c r="D6" s="20" t="d">
        <x:v>2026-01-01T00:00:00.000Z</x:v>
      </x:c>
      <x:c r="E6" s="20" t="d">
        <x:v>2026-02-01T00:00:00.000Z</x:v>
      </x:c>
      <x:c r="F6" s="20" t="d">
        <x:v>2026-03-01T00:00:00.000Z</x:v>
      </x:c>
      <x:c r="G6" s="20" t="d">
        <x:v>2026-04-01T00:00:00.000Z</x:v>
      </x:c>
      <x:c r="H6" s="20" t="d">
        <x:v>2026-05-01T00:00:00.000Z</x:v>
      </x:c>
      <x:c r="I6" s="20" t="d">
        <x:v>2026-06-01T00:00:00.000Z</x:v>
      </x:c>
      <x:c r="J6" s="20" t="d">
        <x:v>2026-07-01T00:00:00.000Z</x:v>
      </x:c>
      <x:c r="K6" s="20" t="d">
        <x:v>2026-08-01T00:00:00.000Z</x:v>
      </x:c>
      <x:c r="L6" s="20" t="d">
        <x:v>2026-09-01T00:00:00.000Z</x:v>
      </x:c>
      <x:c r="M6" s="20" t="d">
        <x:v>2026-10-01T00:00:00.000Z</x:v>
      </x:c>
      <x:c r="N6" s="20" t="d">
        <x:v>2026-11-01T00:00:00.000Z</x:v>
      </x:c>
      <x:c r="O6" s="20" t="d">
        <x:v>2026-12-01T00:00:00.000Z</x:v>
      </x:c>
    </x:row>
    <x:row r="7" ht="22" customHeight="1">
      <x:c r="A7" s="1"/>
      <x:c r="B7" s="1"/>
      <x:c r="C7" s="1" t="str">
        <x:v>Revenue</x:v>
      </x:c>
      <x:c r="D7" s="27" t="n">
        <x:f>SUMIFS('Detail'!$J$7:$J$42,'Detail'!$C$7:$C$42,D$6)</x:f>
        <x:v>791671.1200000001</x:v>
      </x:c>
      <x:c r="E7" s="27" t="n">
        <x:f>SUMIFS('Detail'!$J$7:$J$42,'Detail'!$C$7:$C$42,E$6)</x:f>
        <x:v>780722.73</x:v>
      </x:c>
      <x:c r="F7" s="27" t="n">
        <x:f>SUMIFS('Detail'!$J$7:$J$42,'Detail'!$C$7:$C$42,F$6)</x:f>
        <x:v>854894</x:v>
      </x:c>
      <x:c r="G7" s="27" t="n">
        <x:f>SUMIFS('Detail'!$J$7:$J$42,'Detail'!$C$7:$C$42,G$6)</x:f>
        <x:v>844013.8799999999</x:v>
      </x:c>
      <x:c r="H7" s="27" t="n">
        <x:f>SUMIFS('Detail'!$J$7:$J$42,'Detail'!$C$7:$C$42,H$6)</x:f>
        <x:v>885603.54</x:v>
      </x:c>
      <x:c r="I7" s="27" t="n">
        <x:f>SUMIFS('Detail'!$J$7:$J$42,'Detail'!$C$7:$C$42,I$6)</x:f>
        <x:v>874714.5199999999</x:v>
      </x:c>
      <x:c r="J7" s="27" t="n">
        <x:f>SUMIFS('Detail'!$J$7:$J$42,'Detail'!$C$7:$C$42,J$6)</x:f>
        <x:v>910447.8928</x:v>
      </x:c>
      <x:c r="K7" s="27" t="n">
        <x:f>SUMIFS('Detail'!$J$7:$J$42,'Detail'!$C$7:$C$42,K$6)</x:f>
        <x:v>965634.71293132</x:v>
      </x:c>
      <x:c r="L7" s="27" t="n">
        <x:f>SUMIFS('Detail'!$J$7:$J$42,'Detail'!$C$7:$C$42,L$6)</x:f>
        <x:v>965846.2469509438</x:v>
      </x:c>
      <x:c r="M7" s="27" t="n">
        <x:f>SUMIFS('Detail'!$J$7:$J$42,'Detail'!$C$7:$C$42,M$6)</x:f>
        <x:v>1063956.4777685371</x:v>
      </x:c>
      <x:c r="N7" s="27" t="n">
        <x:f>SUMIFS('Detail'!$J$7:$J$42,'Detail'!$C$7:$C$42,N$6)</x:f>
        <x:v>1146725.4969682184</x:v>
      </x:c>
      <x:c r="O7" s="27" t="n">
        <x:f>SUMIFS('Detail'!$J$7:$J$42,'Detail'!$C$7:$C$42,O$6)</x:f>
        <x:v>1223869.8783387616</x:v>
      </x:c>
    </x:row>
    <x:row r="8" ht="22" customHeight="1">
      <x:c r="A8" s="1"/>
      <x:c r="B8" s="1"/>
      <x:c r="C8" s="1" t="str">
        <x:v>Variable cost</x:v>
      </x:c>
      <x:c r="D8" s="27" t="n">
        <x:f>SUMIFS('Detail'!$K$7:$K$42,'Detail'!$C$7:$C$42,D$6)</x:f>
        <x:v>427136.87</x:v>
      </x:c>
      <x:c r="E8" s="27" t="n">
        <x:f>SUMIFS('Detail'!$K$7:$K$42,'Detail'!$C$7:$C$42,E$6)</x:f>
        <x:v>421447.47000000003</x:v>
      </x:c>
      <x:c r="F8" s="27" t="n">
        <x:f>SUMIFS('Detail'!$K$7:$K$42,'Detail'!$C$7:$C$42,F$6)</x:f>
        <x:v>461716.62</x:v>
      </x:c>
      <x:c r="G8" s="27" t="n">
        <x:f>SUMIFS('Detail'!$K$7:$K$42,'Detail'!$C$7:$C$42,G$6)</x:f>
        <x:v>456065.98</x:v>
      </x:c>
      <x:c r="H8" s="27" t="n">
        <x:f>SUMIFS('Detail'!$K$7:$K$42,'Detail'!$C$7:$C$42,H$6)</x:f>
        <x:v>478778.38</x:v>
      </x:c>
      <x:c r="I8" s="27" t="n">
        <x:f>SUMIFS('Detail'!$K$7:$K$42,'Detail'!$C$7:$C$42,I$6)</x:f>
        <x:v>473146.18</x:v>
      </x:c>
      <x:c r="J8" s="27" t="n">
        <x:f>SUMIFS('Detail'!$K$7:$K$42,'Detail'!$C$7:$C$42,J$6)</x:f>
        <x:v>495857.2799999999</x:v>
      </x:c>
      <x:c r="K8" s="27" t="n">
        <x:f>SUMIFS('Detail'!$K$7:$K$42,'Detail'!$C$7:$C$42,K$6)</x:f>
        <x:v>529540.9504375</x:v>
      </x:c>
      <x:c r="L8" s="27" t="n">
        <x:f>SUMIFS('Detail'!$K$7:$K$42,'Detail'!$C$7:$C$42,L$6)</x:f>
        <x:v>533321.9622759373</x:v>
      </x:c>
      <x:c r="M8" s="27" t="n">
        <x:f>SUMIFS('Detail'!$K$7:$K$42,'Detail'!$C$7:$C$42,M$6)</x:f>
        <x:v>591505.4678485779</x:v>
      </x:c>
      <x:c r="N8" s="27" t="n">
        <x:f>SUMIFS('Detail'!$K$7:$K$42,'Detail'!$C$7:$C$42,N$6)</x:f>
        <x:v>641920.9002589112</x:v>
      </x:c>
      <x:c r="O8" s="27" t="n">
        <x:f>SUMIFS('Detail'!$K$7:$K$42,'Detail'!$C$7:$C$42,O$6)</x:f>
        <x:v>689814.0344479048</x:v>
      </x:c>
    </x:row>
    <x:row r="9" ht="22" customHeight="1">
      <x:c r="A9" s="1"/>
      <x:c r="B9" s="1"/>
      <x:c r="C9" s="1" t="str">
        <x:v>Fixed cost</x:v>
      </x:c>
      <x:c r="D9" s="27" t="n">
        <x:f>SUMIFS('Detail'!$H$7:$H$42,'Detail'!$C$7:$C$42,D$6)</x:f>
        <x:v>207207</x:v>
      </x:c>
      <x:c r="E9" s="27" t="n">
        <x:f>SUMIFS('Detail'!$H$7:$H$42,'Detail'!$C$7:$C$42,E$6)</x:f>
        <x:v>207414</x:v>
      </x:c>
      <x:c r="F9" s="27" t="n">
        <x:f>SUMIFS('Detail'!$H$7:$H$42,'Detail'!$C$7:$C$42,F$6)</x:f>
        <x:v>207621</x:v>
      </x:c>
      <x:c r="G9" s="27" t="n">
        <x:f>SUMIFS('Detail'!$H$7:$H$42,'Detail'!$C$7:$C$42,G$6)</x:f>
        <x:v>207828</x:v>
      </x:c>
      <x:c r="H9" s="27" t="n">
        <x:f>SUMIFS('Detail'!$H$7:$H$42,'Detail'!$C$7:$C$42,H$6)</x:f>
        <x:v>208035</x:v>
      </x:c>
      <x:c r="I9" s="27" t="n">
        <x:f>SUMIFS('Detail'!$H$7:$H$42,'Detail'!$C$7:$C$42,I$6)</x:f>
        <x:v>208242</x:v>
      </x:c>
      <x:c r="J9" s="27" t="n">
        <x:f>SUMIFS('Detail'!$H$7:$H$42,'Detail'!$C$7:$C$42,J$6)</x:f>
        <x:v>210272.92874999996</x:v>
      </x:c>
      <x:c r="K9" s="27" t="n">
        <x:f>SUMIFS('Detail'!$H$7:$H$42,'Detail'!$C$7:$C$42,K$6)</x:f>
        <x:v>212323.45522500004</x:v>
      </x:c>
      <x:c r="L9" s="27" t="n">
        <x:f>SUMIFS('Detail'!$H$7:$H$42,'Detail'!$C$7:$C$42,L$6)</x:f>
        <x:v>214393.76689220505</x:v>
      </x:c>
      <x:c r="M9" s="27" t="n">
        <x:f>SUMIFS('Detail'!$H$7:$H$42,'Detail'!$C$7:$C$42,M$6)</x:f>
        <x:v>216484.05299904558</x:v>
      </x:c>
      <x:c r="N9" s="27" t="n">
        <x:f>SUMIFS('Detail'!$H$7:$H$42,'Detail'!$C$7:$C$42,N$6)</x:f>
        <x:v>218594.50458997808</x:v>
      </x:c>
      <x:c r="O9" s="27" t="n">
        <x:f>SUMIFS('Detail'!$H$7:$H$42,'Detail'!$C$7:$C$42,O$6)</x:f>
        <x:v>220725.31452344428</x:v>
      </x:c>
    </x:row>
    <x:row r="10" ht="22" customHeight="1">
      <x:c r="A10" s="1"/>
      <x:c r="B10" s="1"/>
      <x:c r="C10" s="1" t="str">
        <x:v>Opex</x:v>
      </x:c>
      <x:c r="D10" s="27" t="n">
        <x:f>SUMIFS('Detail'!$I$7:$I$42,'Detail'!$C$7:$C$42,D$6)</x:f>
        <x:v>194388</x:v>
      </x:c>
      <x:c r="E10" s="27" t="n">
        <x:f>SUMIFS('Detail'!$I$7:$I$42,'Detail'!$C$7:$C$42,E$6)</x:f>
        <x:v>194776</x:v>
      </x:c>
      <x:c r="F10" s="27" t="n">
        <x:f>SUMIFS('Detail'!$I$7:$I$42,'Detail'!$C$7:$C$42,F$6)</x:f>
        <x:v>195164</x:v>
      </x:c>
      <x:c r="G10" s="27" t="n">
        <x:f>SUMIFS('Detail'!$I$7:$I$42,'Detail'!$C$7:$C$42,G$6)</x:f>
        <x:v>195552</x:v>
      </x:c>
      <x:c r="H10" s="27" t="n">
        <x:f>SUMIFS('Detail'!$I$7:$I$42,'Detail'!$C$7:$C$42,H$6)</x:f>
        <x:v>195940</x:v>
      </x:c>
      <x:c r="I10" s="27" t="n">
        <x:f>SUMIFS('Detail'!$I$7:$I$42,'Detail'!$C$7:$C$42,I$6)</x:f>
        <x:v>196328</x:v>
      </x:c>
      <x:c r="J10" s="27" t="n">
        <x:f>SUMIFS('Detail'!$I$7:$I$42,'Detail'!$C$7:$C$42,J$6)</x:f>
        <x:v>200650.32</x:v>
      </x:c>
      <x:c r="K10" s="27" t="n">
        <x:f>SUMIFS('Detail'!$I$7:$I$42,'Detail'!$C$7:$C$42,K$6)</x:f>
        <x:v>205067.0016</x:v>
      </x:c>
      <x:c r="L10" s="27" t="n">
        <x:f>SUMIFS('Detail'!$I$7:$I$42,'Detail'!$C$7:$C$42,L$6)</x:f>
        <x:v>209580.09033600002</x:v>
      </x:c>
      <x:c r="M10" s="27" t="n">
        <x:f>SUMIFS('Detail'!$I$7:$I$42,'Detail'!$C$7:$C$42,M$6)</x:f>
        <x:v>214191.6758208</x:v>
      </x:c>
      <x:c r="N10" s="27" t="n">
        <x:f>SUMIFS('Detail'!$I$7:$I$42,'Detail'!$C$7:$C$42,N$6)</x:f>
        <x:v>218903.89268885762</x:v>
      </x:c>
      <x:c r="O10" s="27" t="n">
        <x:f>SUMIFS('Detail'!$I$7:$I$42,'Detail'!$C$7:$C$42,O$6)</x:f>
        <x:v>223718.9215613092</x:v>
      </x:c>
    </x:row>
    <x:row r="11" ht="22" customHeight="1">
      <x:c r="A11" s="1"/>
      <x:c r="B11" s="1"/>
      <x:c r="C11" s="1" t="str">
        <x:v>EBITDA</x:v>
      </x:c>
      <x:c r="D11" s="27" t="n">
        <x:f>SUMIFS('Detail'!$L$7:$L$42,'Detail'!$C$7:$C$42,D$6)</x:f>
        <x:v>-37060.74999999997</x:v>
      </x:c>
      <x:c r="E11" s="27" t="n">
        <x:f>SUMIFS('Detail'!$L$7:$L$42,'Detail'!$C$7:$C$42,E$6)</x:f>
        <x:v>-42914.73999999993</x:v>
      </x:c>
      <x:c r="F11" s="27" t="n">
        <x:f>SUMIFS('Detail'!$L$7:$L$42,'Detail'!$C$7:$C$42,F$6)</x:f>
        <x:v>-9607.620000000112</x:v>
      </x:c>
      <x:c r="G11" s="27" t="n">
        <x:f>SUMIFS('Detail'!$L$7:$L$42,'Detail'!$C$7:$C$42,G$6)</x:f>
        <x:v>-15432.100000000006</x:v>
      </x:c>
      <x:c r="H11" s="27" t="n">
        <x:f>SUMIFS('Detail'!$L$7:$L$42,'Detail'!$C$7:$C$42,H$6)</x:f>
        <x:v>2850.1600000000035</x:v>
      </x:c>
      <x:c r="I11" s="27" t="n">
        <x:f>SUMIFS('Detail'!$L$7:$L$42,'Detail'!$C$7:$C$42,I$6)</x:f>
        <x:v>-3001.660000000091</x:v>
      </x:c>
      <x:c r="J11" s="27" t="n">
        <x:f>SUMIFS('Detail'!$L$7:$L$42,'Detail'!$C$7:$C$42,J$6)</x:f>
        <x:v>3667.364050000062</x:v>
      </x:c>
      <x:c r="K11" s="27" t="n">
        <x:f>SUMIFS('Detail'!$L$7:$L$42,'Detail'!$C$7:$C$42,K$6)</x:f>
        <x:v>18703.305668819987</x:v>
      </x:c>
      <x:c r="L11" s="27" t="n">
        <x:f>SUMIFS('Detail'!$L$7:$L$42,'Detail'!$C$7:$C$42,L$6)</x:f>
        <x:v>8550.427446801477</x:v>
      </x:c>
      <x:c r="M11" s="27" t="n">
        <x:f>SUMIFS('Detail'!$L$7:$L$42,'Detail'!$C$7:$C$42,M$6)</x:f>
        <x:v>41775.28110011376</x:v>
      </x:c>
      <x:c r="N11" s="27" t="n">
        <x:f>SUMIFS('Detail'!$L$7:$L$42,'Detail'!$C$7:$C$42,N$6)</x:f>
        <x:v>67306.19943047158</x:v>
      </x:c>
      <x:c r="O11" s="27" t="n">
        <x:f>SUMIFS('Detail'!$L$7:$L$42,'Detail'!$C$7:$C$42,O$6)</x:f>
        <x:v>89611.60780610342</x:v>
      </x:c>
    </x:row>
    <x:row r="12" ht="22" customHeight="1">
      <x:c r="A12" s="1"/>
      <x:c r="B12" s="1"/>
      <x:c r="C12" s="1" t="str">
        <x:v>EBITDA margin</x:v>
      </x:c>
      <x:c r="D12" s="8" t="n">
        <x:f>D11/D7</x:f>
        <x:v>-0.04681331561014878</x:v>
      </x:c>
      <x:c r="E12" s="8" t="n">
        <x:f>E11/E7</x:f>
        <x:v>-0.054967965387660654</x:v>
      </x:c>
      <x:c r="F12" s="8" t="n">
        <x:f>F11/F7</x:f>
        <x:v>-0.011238375751847728</x:v>
      </x:c>
      <x:c r="G12" s="8" t="n">
        <x:f>G11/G7</x:f>
        <x:v>-0.01828417798058014</x:v>
      </x:c>
      <x:c r="H12" s="8" t="n">
        <x:f>H11/H7</x:f>
        <x:v>0.003218324985466977</x:v>
      </x:c>
      <x:c r="I12" s="8" t="n">
        <x:f>I11/I7</x:f>
        <x:v>-0.0034315881711899456</x:v>
      </x:c>
      <x:c r="J12" s="8" t="n">
        <x:f>J11/J7</x:f>
        <x:v>0.00402808780052356</x:v>
      </x:c>
      <x:c r="K12" s="8" t="n">
        <x:f>K11/K7</x:f>
        <x:v>0.019368924313049467</x:v>
      </x:c>
      <x:c r="L12" s="8" t="n">
        <x:f>L11/L7</x:f>
        <x:v>0.00885278321864801</x:v>
      </x:c>
      <x:c r="M12" s="8" t="n">
        <x:f>M11/M7</x:f>
        <x:v>0.03926408830907267</x:v>
      </x:c>
      <x:c r="N12" s="8" t="n">
        <x:f>N11/N7</x:f>
        <x:v>0.05869425560730946</x:v>
      </x:c>
      <x:c r="O12" s="8" t="n">
        <x:f>O11/O7</x:f>
        <x:v>0.07321988178002967</x:v>
      </x:c>
    </x:row>
    <x:row r="13" ht="22" customHeight="1">
      <x:c r="A13" s="1"/>
      <x:c r="B13" s="1"/>
      <x:c r="C13" s="1" t="str">
        <x:v>Depreciation</x:v>
      </x:c>
      <x:c r="D13" s="21"/>
      <x:c r="E13" s="21"/>
      <x:c r="F13" s="21"/>
      <x:c r="G13" s="21"/>
      <x:c r="H13" s="21"/>
      <x:c r="I13" s="21"/>
      <x:c r="J13" s="27" t="n">
        <x:f>'Assumptions'!$G$12</x:f>
        <x:v>20000</x:v>
      </x:c>
      <x:c r="K13" s="27" t="n">
        <x:f>'Assumptions'!$G$12</x:f>
        <x:v>20000</x:v>
      </x:c>
      <x:c r="L13" s="27" t="n">
        <x:f>'Assumptions'!$G$12</x:f>
        <x:v>20000</x:v>
      </x:c>
      <x:c r="M13" s="27" t="n">
        <x:f>'Assumptions'!$G$12</x:f>
        <x:v>20000</x:v>
      </x:c>
      <x:c r="N13" s="27" t="n">
        <x:f>'Assumptions'!$G$12</x:f>
        <x:v>20000</x:v>
      </x:c>
      <x:c r="O13" s="27" t="n">
        <x:f>'Assumptions'!$G$12</x:f>
        <x:v>20000</x:v>
      </x:c>
    </x:row>
    <x:row r="14" ht="22" customHeight="1">
      <x:c r="A14" s="1"/>
      <x:c r="B14" s="1"/>
      <x:c r="C14" s="1" t="str">
        <x:v>EBIT</x:v>
      </x:c>
      <x:c r="D14" s="21"/>
      <x:c r="E14" s="21"/>
      <x:c r="F14" s="21"/>
      <x:c r="G14" s="21"/>
      <x:c r="H14" s="21"/>
      <x:c r="I14" s="21"/>
      <x:c r="J14" s="28" t="n">
        <x:f>J11-J13</x:f>
        <x:v>-16332.635949999938</x:v>
      </x:c>
      <x:c r="K14" s="28" t="n">
        <x:f>K11-K13</x:f>
        <x:v>-1296.6943311800133</x:v>
      </x:c>
      <x:c r="L14" s="28" t="n">
        <x:f>L11-L13</x:f>
        <x:v>-11449.572553198523</x:v>
      </x:c>
      <x:c r="M14" s="28" t="n">
        <x:f>M11-M13</x:f>
        <x:v>21775.28110011376</x:v>
      </x:c>
      <x:c r="N14" s="28" t="n">
        <x:f>N11-N13</x:f>
        <x:v>47306.19943047158</x:v>
      </x:c>
      <x:c r="O14" s="28" t="n">
        <x:f>O11-O13</x:f>
        <x:v>69611.60780610342</x:v>
      </x:c>
    </x:row>
    <x:row r="15" ht="22" customHeight="1">
      <x:c r="A15" s="1"/>
      <x:c r="B15" s="1"/>
      <x:c r="C15" s="1" t="str">
        <x:v>Cash taxes</x:v>
      </x:c>
      <x:c r="D15" s="21"/>
      <x:c r="E15" s="21"/>
      <x:c r="F15" s="21"/>
      <x:c r="G15" s="21"/>
      <x:c r="H15" s="21"/>
      <x:c r="I15" s="21"/>
      <x:c r="J15" s="27" t="n">
        <x:f>MAX(0,J14)*'Assumptions'!$G$14</x:f>
        <x:v>0</x:v>
      </x:c>
      <x:c r="K15" s="27" t="n">
        <x:f>MAX(0,K14)*'Assumptions'!$G$14</x:f>
        <x:v>0</x:v>
      </x:c>
      <x:c r="L15" s="27" t="n">
        <x:f>MAX(0,L14)*'Assumptions'!$G$14</x:f>
        <x:v>0</x:v>
      </x:c>
      <x:c r="M15" s="27" t="n">
        <x:f>MAX(0,M14)*'Assumptions'!$G$14</x:f>
        <x:v>5443.82027502844</x:v>
      </x:c>
      <x:c r="N15" s="27" t="n">
        <x:f>MAX(0,N14)*'Assumptions'!$G$14</x:f>
        <x:v>11826.549857617894</x:v>
      </x:c>
      <x:c r="O15" s="27" t="n">
        <x:f>MAX(0,O14)*'Assumptions'!$G$14</x:f>
        <x:v>17402.901951525855</x:v>
      </x:c>
    </x:row>
    <x:row r="16" ht="22" customHeight="1">
      <x:c r="A16" s="1"/>
      <x:c r="B16" s="1"/>
      <x:c r="C16" s="1" t="str">
        <x:v>Receivables</x:v>
      </x:c>
      <x:c r="D16" s="21"/>
      <x:c r="E16" s="21"/>
      <x:c r="F16" s="21"/>
      <x:c r="G16" s="21"/>
      <x:c r="H16" s="21"/>
      <x:c r="I16" s="21"/>
      <x:c r="J16" s="27" t="n">
        <x:f>J7*'Assumptions'!$G$10/30</x:f>
        <x:v>1062189.2082666666</x:v>
      </x:c>
      <x:c r="K16" s="27" t="n">
        <x:f>K7*'Assumptions'!$G$10/30</x:f>
        <x:v>1126573.8317532064</x:v>
      </x:c>
      <x:c r="L16" s="27" t="n">
        <x:f>L7*'Assumptions'!$G$10/30</x:f>
        <x:v>1126820.6214427678</x:v>
      </x:c>
      <x:c r="M16" s="27" t="n">
        <x:f>M7*'Assumptions'!$G$10/30</x:f>
        <x:v>1241282.5573966268</x:v>
      </x:c>
      <x:c r="N16" s="27" t="n">
        <x:f>N7*'Assumptions'!$G$10/30</x:f>
        <x:v>1337846.413129588</x:v>
      </x:c>
      <x:c r="O16" s="27" t="n">
        <x:f>O7*'Assumptions'!$G$10/30</x:f>
        <x:v>1427848.191395222</x:v>
      </x:c>
    </x:row>
    <x:row r="17" ht="22" customHeight="1">
      <x:c r="A17" s="1"/>
      <x:c r="B17" s="1"/>
      <x:c r="C17" s="1" t="str">
        <x:v>Payables</x:v>
      </x:c>
      <x:c r="D17" s="21"/>
      <x:c r="E17" s="21"/>
      <x:c r="F17" s="21"/>
      <x:c r="G17" s="21"/>
      <x:c r="H17" s="21"/>
      <x:c r="I17" s="21"/>
      <x:c r="J17" s="27" t="n">
        <x:f>J8*'Assumptions'!$G$11/30</x:f>
        <x:v>330571.5199999999</x:v>
      </x:c>
      <x:c r="K17" s="27" t="n">
        <x:f>K8*'Assumptions'!$G$11/30</x:f>
        <x:v>353027.3002916667</x:v>
      </x:c>
      <x:c r="L17" s="27" t="n">
        <x:f>L8*'Assumptions'!$G$11/30</x:f>
        <x:v>355547.97485062486</x:v>
      </x:c>
      <x:c r="M17" s="27" t="n">
        <x:f>M8*'Assumptions'!$G$11/30</x:f>
        <x:v>394336.97856571863</x:v>
      </x:c>
      <x:c r="N17" s="27" t="n">
        <x:f>N8*'Assumptions'!$G$11/30</x:f>
        <x:v>427947.26683927415</x:v>
      </x:c>
      <x:c r="O17" s="27" t="n">
        <x:f>O8*'Assumptions'!$G$11/30</x:f>
        <x:v>459876.02296526986</x:v>
      </x:c>
    </x:row>
    <x:row r="18" ht="22" customHeight="1">
      <x:c r="A18" s="1"/>
      <x:c r="B18" s="1"/>
      <x:c r="C18" s="1" t="str">
        <x:v>Change in net working capital</x:v>
      </x:c>
      <x:c r="D18" s="21"/>
      <x:c r="E18" s="21"/>
      <x:c r="F18" s="21"/>
      <x:c r="G18" s="21"/>
      <x:c r="H18" s="21"/>
      <x:c r="I18" s="21"/>
      <x:c r="J18" s="27" t="n">
        <x:f>(J16-J17)-(I7*'Assumptions'!$G$10/30-I8*'Assumptions'!$G$11/30)</x:f>
        <x:v>26548.201600000146</x:v>
      </x:c>
      <x:c r="K18" s="28" t="n">
        <x:f>(K16-K17)-(J16-J17)</x:f>
        <x:v>41928.843194872956</x:v>
      </x:c>
      <x:c r="L18" s="28" t="n">
        <x:f>(L16-L17)-(K16-K17)</x:f>
        <x:v>-2273.8848693966866</x:v>
      </x:c>
      <x:c r="M18" s="28" t="n">
        <x:f>(M16-M17)-(L16-L17)</x:f>
        <x:v>75672.93223876518</x:v>
      </x:c>
      <x:c r="N18" s="28" t="n">
        <x:f>(N16-N17)-(M16-M17)</x:f>
        <x:v>62953.567459405516</x:v>
      </x:c>
      <x:c r="O18" s="28" t="n">
        <x:f>(O16-O17)-(N16-N17)</x:f>
        <x:v>58073.02213963843</x:v>
      </x:c>
    </x:row>
    <x:row r="19" ht="22" customHeight="1">
      <x:c r="A19" s="1"/>
      <x:c r="B19" s="1"/>
      <x:c r="C19" s="1" t="str">
        <x:v>Cash capex</x:v>
      </x:c>
      <x:c r="D19" s="21"/>
      <x:c r="E19" s="21"/>
      <x:c r="F19" s="21"/>
      <x:c r="G19" s="21"/>
      <x:c r="H19" s="21"/>
      <x:c r="I19" s="21"/>
      <x:c r="J19" s="27" t="n">
        <x:f>'Assumptions'!$G$13</x:f>
        <x:v>25000</x:v>
      </x:c>
      <x:c r="K19" s="27" t="n">
        <x:f>'Assumptions'!$G$13</x:f>
        <x:v>25000</x:v>
      </x:c>
      <x:c r="L19" s="27" t="n">
        <x:f>'Assumptions'!$G$13</x:f>
        <x:v>25000</x:v>
      </x:c>
      <x:c r="M19" s="27" t="n">
        <x:f>'Assumptions'!$G$13</x:f>
        <x:v>25000</x:v>
      </x:c>
      <x:c r="N19" s="27" t="n">
        <x:f>'Assumptions'!$G$13</x:f>
        <x:v>25000</x:v>
      </x:c>
      <x:c r="O19" s="27" t="n">
        <x:f>'Assumptions'!$G$13</x:f>
        <x:v>25000</x:v>
      </x:c>
    </x:row>
    <x:row r="20" ht="22" customHeight="1">
      <x:c r="A20" s="1"/>
      <x:c r="B20" s="1"/>
      <x:c r="C20" s="1" t="str">
        <x:v>Operating cash after capex</x:v>
      </x:c>
      <x:c r="D20" s="21"/>
      <x:c r="E20" s="21"/>
      <x:c r="F20" s="21"/>
      <x:c r="G20" s="21"/>
      <x:c r="H20" s="21"/>
      <x:c r="I20" s="21"/>
      <x:c r="J20" s="28" t="n">
        <x:f>J14-J15+J13-J18-J19</x:f>
        <x:v>-47880.837550000084</x:v>
      </x:c>
      <x:c r="K20" s="28" t="n">
        <x:f>K14-K15+K13-K18-K19</x:f>
        <x:v>-48225.53752605297</x:v>
      </x:c>
      <x:c r="L20" s="28" t="n">
        <x:f>L14-L15+L13-L18-L19</x:f>
        <x:v>-14175.687683801836</x:v>
      </x:c>
      <x:c r="M20" s="28" t="n">
        <x:f>M14-M15+M13-M18-M19</x:f>
        <x:v>-64341.47141367986</x:v>
      </x:c>
      <x:c r="N20" s="28" t="n">
        <x:f>N14-N15+N13-N18-N19</x:f>
        <x:v>-32473.917886551833</x:v>
      </x:c>
      <x:c r="O20" s="28" t="n">
        <x:f>O14-O15+O13-O18-O19</x:f>
        <x:v>-10864.316285060864</x:v>
      </x:c>
    </x:row>
    <x:row r="21" ht="22" customHeight="1">
      <x:c r="A21" s="1"/>
      <x:c r="B21" s="1"/>
      <x:c r="C21" s="1" t="str">
        <x:v>Opening cash</x:v>
      </x:c>
      <x:c r="D21" s="21"/>
      <x:c r="E21" s="21"/>
      <x:c r="F21" s="21"/>
      <x:c r="G21" s="21"/>
      <x:c r="H21" s="21"/>
      <x:c r="I21" s="21"/>
      <x:c r="J21" s="27" t="n">
        <x:f>'Assumptions'!$G$9</x:f>
        <x:v>500000</x:v>
      </x:c>
      <x:c r="K21" s="28" t="n">
        <x:f>J22</x:f>
        <x:v>452119.16244999995</x:v>
      </x:c>
      <x:c r="L21" s="28" t="n">
        <x:f>K22</x:f>
        <x:v>403893.624923947</x:v>
      </x:c>
      <x:c r="M21" s="28" t="n">
        <x:f>L22</x:f>
        <x:v>389717.93724014517</x:v>
      </x:c>
      <x:c r="N21" s="28" t="n">
        <x:f>M22</x:f>
        <x:v>325376.4658264653</x:v>
      </x:c>
      <x:c r="O21" s="28" t="n">
        <x:f>N22</x:f>
        <x:v>292902.54793991346</x:v>
      </x:c>
    </x:row>
    <x:row r="22" ht="22" customHeight="1">
      <x:c r="A22" s="1"/>
      <x:c r="B22" s="1"/>
      <x:c r="C22" s="1" t="str">
        <x:v>Ending cash</x:v>
      </x:c>
      <x:c r="D22" s="21"/>
      <x:c r="E22" s="21"/>
      <x:c r="F22" s="21"/>
      <x:c r="G22" s="21"/>
      <x:c r="H22" s="21"/>
      <x:c r="I22" s="21"/>
      <x:c r="J22" s="28" t="n">
        <x:f>SUM(J20:J21)</x:f>
        <x:v>452119.16244999995</x:v>
      </x:c>
      <x:c r="K22" s="28" t="n">
        <x:f>SUM(K20:K21)</x:f>
        <x:v>403893.624923947</x:v>
      </x:c>
      <x:c r="L22" s="28" t="n">
        <x:f>SUM(L20:L21)</x:f>
        <x:v>389717.93724014517</x:v>
      </x:c>
      <x:c r="M22" s="28" t="n">
        <x:f>SUM(M20:M21)</x:f>
        <x:v>325376.4658264653</x:v>
      </x:c>
      <x:c r="N22" s="28" t="n">
        <x:f>SUM(N20:N21)</x:f>
        <x:v>292902.54793991346</x:v>
      </x:c>
      <x:c r="O22" s="28" t="n">
        <x:f>SUM(O20:O21)</x:f>
        <x:v>282038.2316548526</x:v>
      </x:c>
    </x:row>
    <x:row r="23" ht="22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</x:row>
    <x:row r="24" ht="22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</x:row>
    <x:row r="25" ht="22" customHeight="1">
      <x:c r="A25" s="1"/>
      <x:c r="B25" s="1"/>
      <x:c r="C25" s="1" t="str">
        <x:v>Jan-Jun: synthetic history. Cash schedule covers Jul-Dec only.</x:v>
      </x:c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</x:row>
    <x:row r="26" ht="22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</x:row>
    <x:row r="27" ht="22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</x:row>
    <x:row r="28" ht="22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</x:row>
    <x:row r="29" ht="22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</x:row>
    <x:row r="30" ht="22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</x:row>
    <x:row r="31" ht="22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</x:row>
    <x:row r="32" ht="22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</x:row>
    <x:row r="33" ht="22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</x:row>
    <x:row r="34" ht="22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</x:row>
    <x:row r="35" ht="22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</x:row>
    <x:row r="36" ht="22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</x:row>
    <x:row r="37" ht="22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</x:row>
    <x:row r="38" ht="22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</x:row>
    <x:row r="39" ht="22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</x:row>
    <x:row r="40" ht="22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</x:row>
    <x:row r="41" ht="22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</x:row>
    <x:row r="42" ht="22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</x:row>
    <x:row r="43" ht="22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</x:row>
    <x:row r="44" ht="22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</x:row>
    <x:row r="45" ht="22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</x:row>
    <x:row r="46" ht="22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</x:row>
    <x:row r="47" ht="22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</x:row>
    <x:row r="48" ht="22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</x:row>
    <x:row r="49" ht="22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</x:row>
    <x:row r="50" ht="22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</x:row>
    <x:row r="51" ht="22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</x:row>
    <x:row r="52" ht="22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</x:row>
    <x:row r="53" ht="22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</x:row>
    <x:row r="54" ht="22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</x:row>
    <x:row r="55" ht="22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</x:row>
    <x:row r="56" ht="22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</x:row>
    <x:row r="57" ht="22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</x:row>
    <x:row r="58" ht="22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</x:row>
    <x:row r="59" ht="22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</x:row>
    <x:row r="60" ht="22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</x:row>
    <x:row r="61" ht="22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</x:row>
    <x:row r="62" ht="22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</x:row>
    <x:row r="63" ht="22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</x:row>
    <x:row r="64" ht="22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</x:row>
    <x:row r="65" ht="22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</x:row>
  </x:sheetData>
  <x:mergeCells>
    <x:mergeCell ref="D4:F4"/>
    <x:mergeCell ref="C25:K25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" hidden="0" customWidth="1"/>
    <x:col min="2" max="2" width="3" hidden="0" customWidth="1"/>
    <x:col min="3" max="3" width="42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</x:cols>
  <x:sheetData>
    <x:row r="1" ht="22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</x:row>
    <x:row r="2" ht="22" customHeight="1">
      <x:c r="A2" s="1"/>
      <x:c r="B2" s="1"/>
      <x:c r="C2" s="2" t="str">
        <x:v>July EBITDA variance to reference plan</x:v>
      </x:c>
      <x:c r="D2" s="1"/>
      <x:c r="E2" s="1"/>
      <x:c r="F2" s="1"/>
      <x:c r="G2" s="1"/>
      <x:c r="H2" s="1"/>
      <x:c r="I2" s="1"/>
      <x:c r="J2" s="1"/>
      <x:c r="K2" s="1"/>
      <x:c r="L2" s="1"/>
    </x:row>
    <x:row r="3" ht="22" customHeight="1">
      <x:c r="A3" s="1"/>
      <x:c r="B3" s="1"/>
      <x:c r="C3" s="3"/>
      <x:c r="D3" s="3"/>
      <x:c r="E3" s="3"/>
      <x:c r="F3" s="3"/>
      <x:c r="G3" s="3"/>
      <x:c r="H3" s="3"/>
      <x:c r="I3" s="3"/>
      <x:c r="J3" s="3"/>
      <x:c r="K3" s="3"/>
      <x:c r="L3" s="3"/>
    </x:row>
    <x:row r="4" ht="22" customHeight="1">
      <x:c r="A4" s="1"/>
      <x:c r="B4" s="1"/>
      <x:c r="C4" s="1" t="str">
        <x:v>Case selected</x:v>
      </x:c>
      <x:c r="D4" s="7" t="str">
        <x:f>'Assumptions'!D4</x:f>
        <x:v>Base</x:v>
      </x:c>
      <x:c r="E4" s="1"/>
      <x:c r="F4" s="1"/>
      <x:c r="G4" s="1"/>
      <x:c r="H4" s="1"/>
      <x:c r="I4" s="1"/>
      <x:c r="J4" s="1"/>
      <x:c r="K4" s="1"/>
      <x:c r="L4" s="1"/>
    </x:row>
    <x:row r="5" ht="22" customHeight="1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</x:row>
    <x:row r="6" ht="15" hidden="0" customHeight="1">
      <x:c r="A6" s="1"/>
      <x:c r="B6" s="1"/>
      <x:c r="C6" s="14" t="str">
        <x:v>Segment</x:v>
      </x:c>
      <x:c r="D6" s="14" t="str">
        <x:v>Plan units</x:v>
      </x:c>
      <x:c r="E6" s="14" t="str">
        <x:v>Plan price</x:v>
      </x:c>
      <x:c r="F6" s="14" t="str">
        <x:v>Plan unit cost</x:v>
      </x:c>
      <x:c r="G6" s="14" t="str">
        <x:v>Volume</x:v>
      </x:c>
      <x:c r="H6" s="14" t="str">
        <x:v>Price</x:v>
      </x:c>
      <x:c r="I6" s="14" t="str">
        <x:v>Unit cost</x:v>
      </x:c>
      <x:c r="J6" s="14" t="str">
        <x:v>Fixed / opex</x:v>
      </x:c>
      <x:c r="K6" s="14" t="str">
        <x:v>Total variance</x:v>
      </x:c>
      <x:c r="L6" s="14" t="str">
        <x:v>Active EBITDA</x:v>
      </x:c>
    </x:row>
    <x:row r="7" ht="15" hidden="0" customHeight="1">
      <x:c r="A7" s="1"/>
      <x:c r="B7" s="1"/>
      <x:c r="C7" s="5" t="str">
        <x:v>Core</x:v>
      </x:c>
      <x:c r="D7" s="29" t="n">
        <x:f>ROUND('Detail'!E22*1.01,0)</x:f>
        <x:v>921</x:v>
      </x:c>
      <x:c r="E7" s="29" t="n">
        <x:f>'Detail'!F22</x:f>
        <x:v>413.69</x:v>
      </x:c>
      <x:c r="F7" s="29" t="n">
        <x:f>'Detail'!G22</x:f>
        <x:v>250.98</x:v>
      </x:c>
      <x:c r="G7" s="31" t="n">
        <x:f>('Detail'!E25-D7)*(E7-F7)</x:f>
        <x:v>1789.8100000000002</x:v>
      </x:c>
      <x:c r="H7" s="31" t="n">
        <x:f>'Detail'!E25*('Detail'!F25-E7)</x:f>
        <x:v>6940.06343999999</x:v>
      </x:c>
      <x:c r="I7" s="31" t="n">
        <x:f>-'Detail'!E25*('Detail'!G25-F7)</x:f>
        <x:v>-5847.833999999963</x:v>
      </x:c>
      <x:c r="J7" s="31" t="n">
        <x:f>-('Detail'!H25+'Detail'!I25-'Detail'!H22-'Detail'!I22)</x:f>
        <x:v>-2232.28125</x:v>
      </x:c>
      <x:c r="K7" s="32" t="n">
        <x:f>SUM(G7:J7)</x:f>
        <x:v>649.7581900000268</x:v>
      </x:c>
      <x:c r="L7" s="31" t="n">
        <x:f>'Detail'!L25</x:f>
        <x:v>-760.3318099999451</x:v>
      </x:c>
    </x:row>
    <x:row r="8" ht="15" hidden="0" customHeight="1">
      <x:c r="A8" s="1"/>
      <x:c r="B8" s="1"/>
      <x:c r="C8" s="5" t="str">
        <x:v>Enterprise</x:v>
      </x:c>
      <x:c r="D8" s="29" t="n">
        <x:f>ROUND('Detail'!E23*1.01,0)</x:f>
        <x:v>305</x:v>
      </x:c>
      <x:c r="E8" s="29" t="n">
        <x:f>'Detail'!F23</x:f>
        <x:v>1130.08</x:v>
      </x:c>
      <x:c r="F8" s="29" t="n">
        <x:f>'Detail'!G23</x:f>
        <x:v>612.26</x:v>
      </x:c>
      <x:c r="G8" s="31" t="n">
        <x:f>('Detail'!E26-D8)*(E8-F8)</x:f>
        <x:v>2071.2799999999997</x:v>
      </x:c>
      <x:c r="H8" s="31" t="n">
        <x:f>'Detail'!E26*('Detail'!F26-E8)</x:f>
        <x:v>6285.504959999976</x:v>
      </x:c>
      <x:c r="I8" s="31" t="n">
        <x:f>-'Detail'!E26*('Detail'!G26-F8)</x:f>
        <x:v>-4729.708499999973</x:v>
      </x:c>
      <x:c r="J8" s="31" t="n">
        <x:f>-('Detail'!H26+'Detail'!I26-'Detail'!H23-'Detail'!I23)</x:f>
        <x:v>-2572.6149999999907</x:v>
      </x:c>
      <x:c r="K8" s="32" t="n">
        <x:f>SUM(G8:J8)</x:f>
        <x:v>1054.4614600000114</x:v>
      </x:c>
      <x:c r="L8" s="31" t="n">
        <x:f>'Detail'!L26</x:f>
        <x:v>-450.43854000000283</x:v>
      </x:c>
    </x:row>
    <x:row r="9" ht="15" hidden="0" customHeight="1">
      <x:c r="A9" s="1"/>
      <x:c r="B9" s="1"/>
      <x:c r="C9" s="5" t="str">
        <x:v>Services</x:v>
      </x:c>
      <x:c r="D9" s="29" t="n">
        <x:f>ROUND('Detail'!E24*1.01,0)</x:f>
        <x:v>548</x:v>
      </x:c>
      <x:c r="E9" s="29" t="n">
        <x:f>'Detail'!F24</x:f>
        <x:v>287.56</x:v>
      </x:c>
      <x:c r="F9" s="29" t="n">
        <x:f>'Detail'!G24</x:f>
        <x:v>109.3</x:v>
      </x:c>
      <x:c r="G9" s="31" t="n">
        <x:f>('Detail'!E27-D9)*(E9-F9)</x:f>
        <x:v>1247.82</x:v>
      </x:c>
      <x:c r="H9" s="31" t="n">
        <x:f>'Detail'!E27*('Detail'!F27-E9)</x:f>
        <x:v>2872.7244000000073</x:v>
      </x:c>
      <x:c r="I9" s="31" t="n">
        <x:f>-'Detail'!E27*('Detail'!G27-F9)</x:f>
        <x:v>-1516.537499999993</x:v>
      </x:c>
      <x:c r="J9" s="31" t="n">
        <x:f>-('Detail'!H27+'Detail'!I27-'Detail'!H24-'Detail'!I24)</x:f>
        <x:v>-1548.3524999999936</x:v>
      </x:c>
      <x:c r="K9" s="32" t="n">
        <x:f>SUM(G9:J9)</x:f>
        <x:v>1055.6544000000204</x:v>
      </x:c>
      <x:c r="L9" s="31" t="n">
        <x:f>'Detail'!L27</x:f>
        <x:v>4878.13440000001</x:v>
      </x:c>
    </x:row>
    <x:row r="10" ht="22" customHeight="1">
      <x:c r="A10" s="1"/>
      <x:c r="B10" s="1"/>
      <x:c r="C10" s="1"/>
      <x:c r="D10" s="1"/>
      <x:c r="E10" s="1"/>
      <x:c r="F10" s="1"/>
      <x:c r="G10" s="1"/>
      <x:c r="H10" s="1"/>
      <x:c r="I10" s="1"/>
      <x:c r="J10" s="1"/>
      <x:c r="K10" s="1"/>
      <x:c r="L10" s="1"/>
    </x:row>
    <x:row r="11" ht="22" customHeight="1">
      <x:c r="A11" s="1"/>
      <x:c r="B11" s="1"/>
      <x:c r="C11" s="1"/>
      <x:c r="D11" s="1"/>
      <x:c r="E11" s="1"/>
      <x:c r="F11" s="1"/>
      <x:c r="G11" s="1"/>
      <x:c r="H11" s="1"/>
      <x:c r="I11" s="1"/>
      <x:c r="J11" s="1"/>
      <x:c r="K11" s="1"/>
      <x:c r="L11" s="1"/>
    </x:row>
    <x:row r="12" ht="22" customHeight="1">
      <x:c r="A12" s="1"/>
      <x:c r="B12" s="1"/>
      <x:c r="C12" s="1" t="str">
        <x:v>Reference July EBITDA</x:v>
      </x:c>
      <x:c r="D12" s="27" t="n">
        <x:f>SUMPRODUCT(D7:D9,E7:E9)-SUMPRODUCT(D7:D9,F7:F9)-SUM('Detail'!H22:I24)</x:f>
        <x:v>907.4899999998743</x:v>
      </x:c>
      <x:c r="E12" s="1"/>
      <x:c r="F12" s="1"/>
      <x:c r="G12" s="1"/>
      <x:c r="H12" s="1"/>
      <x:c r="I12" s="1"/>
      <x:c r="J12" s="1"/>
      <x:c r="K12" s="1"/>
      <x:c r="L12" s="1"/>
    </x:row>
    <x:row r="13" ht="22" customHeight="1">
      <x:c r="A13" s="1"/>
      <x:c r="B13" s="1"/>
      <x:c r="C13" s="1" t="str">
        <x:v>Active July EBITDA</x:v>
      </x:c>
      <x:c r="D13" s="27" t="n">
        <x:f>'Monthly'!J11</x:f>
        <x:v>3667.364050000062</x:v>
      </x:c>
      <x:c r="E13" s="1"/>
      <x:c r="F13" s="1"/>
      <x:c r="G13" s="1"/>
      <x:c r="H13" s="1"/>
      <x:c r="I13" s="1"/>
      <x:c r="J13" s="1"/>
      <x:c r="K13" s="1"/>
      <x:c r="L13" s="1"/>
    </x:row>
    <x:row r="14" ht="22" customHeight="1">
      <x:c r="A14" s="1"/>
      <x:c r="B14" s="1"/>
      <x:c r="C14" s="1" t="str">
        <x:v>Total driver variance</x:v>
      </x:c>
      <x:c r="D14" s="28" t="n">
        <x:f>SUM(K7:K9)</x:f>
        <x:v>2759.8740500000586</x:v>
      </x:c>
      <x:c r="E14" s="1"/>
      <x:c r="F14" s="1"/>
      <x:c r="G14" s="1"/>
      <x:c r="H14" s="1"/>
      <x:c r="I14" s="1"/>
      <x:c r="J14" s="1"/>
      <x:c r="K14" s="1"/>
      <x:c r="L14" s="1"/>
    </x:row>
    <x:row r="15" ht="22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  <x:c r="L15" s="1"/>
    </x:row>
    <x:row r="16" ht="22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</x:row>
    <x:row r="17" ht="22" customHeight="1">
      <x:c r="A17" s="1"/>
      <x:c r="B17" s="1"/>
      <x:c r="C17" s="5" t="str">
        <x:v>Reference plan: June unit economics, July seasonality, June fixed/opex.</x:v>
      </x:c>
      <x:c r="D17" s="5"/>
      <x:c r="E17" s="5"/>
      <x:c r="F17" s="5"/>
      <x:c r="G17" s="5"/>
      <x:c r="H17" s="5"/>
      <x:c r="I17" s="5"/>
      <x:c r="J17" s="5"/>
      <x:c r="K17" s="5"/>
      <x:c r="L17" s="5"/>
    </x:row>
    <x:row r="18" ht="22" customHeight="1">
      <x:c r="A18" s="1"/>
      <x:c r="B18" s="1"/>
      <x:c r="C18" s="5"/>
      <x:c r="D18" s="5"/>
      <x:c r="E18" s="5"/>
      <x:c r="F18" s="5"/>
      <x:c r="G18" s="5"/>
      <x:c r="H18" s="5"/>
      <x:c r="I18" s="5"/>
      <x:c r="J18" s="5"/>
      <x:c r="K18" s="5"/>
      <x:c r="L18" s="5"/>
    </x:row>
    <x:row r="19" ht="22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</x:row>
    <x:row r="20" ht="22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</x:row>
    <x:row r="21" ht="22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</x:row>
    <x:row r="22" ht="22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</x:row>
    <x:row r="23" ht="22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</x:row>
    <x:row r="24" ht="22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</x:row>
    <x:row r="25" ht="22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</x:row>
    <x:row r="26" ht="22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</x:row>
    <x:row r="27" ht="22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</x:row>
    <x:row r="28" ht="22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</x:row>
    <x:row r="29" ht="22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</x:row>
    <x:row r="30" ht="22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</x:row>
    <x:row r="31" ht="22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</x:row>
    <x:row r="32" ht="22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</x:row>
    <x:row r="33" ht="22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</x:row>
    <x:row r="34" ht="22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</x:row>
    <x:row r="35" ht="22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</x:row>
    <x:row r="36" ht="22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</x:row>
    <x:row r="37" ht="22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</x:row>
    <x:row r="38" ht="22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</x:row>
    <x:row r="39" ht="22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</x:row>
    <x:row r="40" ht="22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</x:row>
    <x:row r="41" ht="22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</x:row>
    <x:row r="42" ht="22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</x:row>
    <x:row r="43" ht="22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</x:row>
    <x:row r="44" ht="22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</x:row>
    <x:row r="45" ht="22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</x:row>
    <x:row r="46" ht="22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</x:row>
    <x:row r="47" ht="22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</x:row>
    <x:row r="48" ht="22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</x:row>
    <x:row r="49" ht="22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</x:row>
    <x:row r="50" ht="22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</x:row>
    <x:row r="51" ht="22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</x:row>
    <x:row r="52" ht="22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</x:row>
    <x:row r="53" ht="22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</x:row>
    <x:row r="54" ht="22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</x:row>
    <x:row r="55" ht="22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</x:row>
    <x:row r="56" ht="22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</x:row>
    <x:row r="57" ht="22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</x:row>
    <x:row r="58" ht="22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</x:row>
    <x:row r="59" ht="22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</x:row>
    <x:row r="60" ht="22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</x:row>
    <x:row r="61" ht="22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</x:row>
    <x:row r="62" ht="22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</x:row>
    <x:row r="63" ht="22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</x:row>
    <x:row r="64" ht="22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</x:row>
    <x:row r="65" ht="22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</x:row>
  </x:sheetData>
  <x:mergeCells>
    <x:mergeCell ref="D4:F4"/>
    <x:mergeCell ref="C17:L18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" hidden="0" customWidth="1"/>
    <x:col min="2" max="2" width="3" hidden="0" customWidth="1"/>
    <x:col min="3" max="3" width="42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</x:cols>
  <x:sheetData>
    <x:row r="1" ht="22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</x:row>
    <x:row r="2" ht="22" customHeight="1">
      <x:c r="A2" s="1"/>
      <x:c r="B2" s="1"/>
      <x:c r="C2" s="2" t="str">
        <x:v>Synthetic H1 source records</x:v>
      </x:c>
      <x:c r="D2" s="1"/>
      <x:c r="E2" s="1"/>
      <x:c r="F2" s="1"/>
      <x:c r="G2" s="1"/>
      <x:c r="H2" s="1"/>
      <x:c r="I2" s="1"/>
      <x:c r="J2" s="1"/>
    </x:row>
    <x:row r="3" ht="22" customHeight="1">
      <x:c r="A3" s="1"/>
      <x:c r="B3" s="1"/>
      <x:c r="C3" s="3"/>
      <x:c r="D3" s="3"/>
      <x:c r="E3" s="3"/>
      <x:c r="F3" s="3"/>
      <x:c r="G3" s="3"/>
      <x:c r="H3" s="3"/>
      <x:c r="I3" s="3"/>
      <x:c r="J3" s="3"/>
    </x:row>
    <x:row r="4" ht="22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22" customHeight="1">
      <x:c r="A5" s="1"/>
      <x:c r="B5" s="1"/>
      <x:c r="C5" s="1"/>
      <x:c r="D5" s="1"/>
      <x:c r="E5" s="1"/>
      <x:c r="F5" s="1"/>
      <x:c r="G5" s="1"/>
      <x:c r="H5" s="1"/>
      <x:c r="I5" s="1"/>
      <x:c r="J5" s="1"/>
    </x:row>
    <x:row r="6" ht="15" hidden="0" customHeight="1">
      <x:c r="A6" s="1"/>
      <x:c r="B6" s="1"/>
      <x:c r="C6" s="14" t="str">
        <x:v>Month</x:v>
      </x:c>
      <x:c r="D6" s="14" t="str">
        <x:v>Segment</x:v>
      </x:c>
      <x:c r="E6" s="14" t="str">
        <x:v>Units</x:v>
      </x:c>
      <x:c r="F6" s="14" t="str">
        <x:v>Price / unit</x:v>
      </x:c>
      <x:c r="G6" s="14" t="str">
        <x:v>Variable cost / unit</x:v>
      </x:c>
      <x:c r="H6" s="14" t="str">
        <x:v>Fixed cost</x:v>
      </x:c>
      <x:c r="I6" s="14" t="str">
        <x:v>Opex</x:v>
      </x:c>
      <x:c r="J6" s="1"/>
    </x:row>
    <x:row r="7" ht="15" hidden="0" customHeight="1">
      <x:c r="A7" s="1"/>
      <x:c r="B7" s="1"/>
      <x:c r="C7" s="16" t="d">
        <x:v>2026-01-01T00:00:00.000Z</x:v>
      </x:c>
      <x:c r="D7" s="5" t="str">
        <x:v>Core</x:v>
      </x:c>
      <x:c r="E7" s="17" t="n">
        <x:v>832</x:v>
      </x:c>
      <x:c r="F7" s="18" t="n">
        <x:v>410.62</x:v>
      </x:c>
      <x:c r="G7" s="18" t="n">
        <x:v>248.5</x:v>
      </x:c>
      <x:c r="H7" s="17" t="n">
        <x:v>89089</x:v>
      </x:c>
      <x:c r="I7" s="17" t="n">
        <x:v>61122</x:v>
      </x:c>
      <x:c r="J7" s="1"/>
    </x:row>
    <x:row r="8" ht="15" hidden="0" customHeight="1">
      <x:c r="A8" s="1"/>
      <x:c r="B8" s="1"/>
      <x:c r="C8" s="16" t="d">
        <x:v>2026-01-01T00:00:00.000Z</x:v>
      </x:c>
      <x:c r="D8" s="5" t="str">
        <x:v>Enterprise</x:v>
      </x:c>
      <x:c r="E8" s="17" t="n">
        <x:v>275</x:v>
      </x:c>
      <x:c r="F8" s="18" t="n">
        <x:v>1121.68</x:v>
      </x:c>
      <x:c r="G8" s="18" t="n">
        <x:v>606.21</x:v>
      </x:c>
      <x:c r="H8" s="17" t="n">
        <x:v>76076</x:v>
      </x:c>
      <x:c r="I8" s="17" t="n">
        <x:v>82164</x:v>
      </x:c>
      <x:c r="J8" s="1"/>
    </x:row>
    <x:row r="9" ht="15" hidden="0" customHeight="1">
      <x:c r="A9" s="1"/>
      <x:c r="B9" s="1"/>
      <x:c r="C9" s="16" t="d">
        <x:v>2026-01-01T00:00:00.000Z</x:v>
      </x:c>
      <x:c r="D9" s="5" t="str">
        <x:v>Services</x:v>
      </x:c>
      <x:c r="E9" s="17" t="n">
        <x:v>496</x:v>
      </x:c>
      <x:c r="F9" s="18" t="n">
        <x:v>285.43</x:v>
      </x:c>
      <x:c r="G9" s="18" t="n">
        <x:v>108.22</x:v>
      </x:c>
      <x:c r="H9" s="17" t="n">
        <x:v>42042</x:v>
      </x:c>
      <x:c r="I9" s="17" t="n">
        <x:v>51102</x:v>
      </x:c>
      <x:c r="J9" s="1"/>
    </x:row>
    <x:row r="10" ht="15" hidden="0" customHeight="1">
      <x:c r="A10" s="1"/>
      <x:c r="B10" s="1"/>
      <x:c r="C10" s="16" t="d">
        <x:v>2026-02-01T00:00:00.000Z</x:v>
      </x:c>
      <x:c r="D10" s="5" t="str">
        <x:v>Core</x:v>
      </x:c>
      <x:c r="E10" s="17" t="n">
        <x:v>819</x:v>
      </x:c>
      <x:c r="F10" s="18" t="n">
        <x:v>411.23</x:v>
      </x:c>
      <x:c r="G10" s="18" t="n">
        <x:v>248.99</x:v>
      </x:c>
      <x:c r="H10" s="17" t="n">
        <x:v>89178</x:v>
      </x:c>
      <x:c r="I10" s="17" t="n">
        <x:v>61244</x:v>
      </x:c>
      <x:c r="J10" s="1"/>
    </x:row>
    <x:row r="11" ht="15" hidden="0" customHeight="1">
      <x:c r="A11" s="1"/>
      <x:c r="B11" s="1"/>
      <x:c r="C11" s="16" t="d">
        <x:v>2026-02-01T00:00:00.000Z</x:v>
      </x:c>
      <x:c r="D11" s="5" t="str">
        <x:v>Enterprise</x:v>
      </x:c>
      <x:c r="E11" s="17" t="n">
        <x:v>271</x:v>
      </x:c>
      <x:c r="F11" s="18" t="n">
        <x:v>1123.36</x:v>
      </x:c>
      <x:c r="G11" s="18" t="n">
        <x:v>607.42</x:v>
      </x:c>
      <x:c r="H11" s="17" t="n">
        <x:v>76152</x:v>
      </x:c>
      <x:c r="I11" s="17" t="n">
        <x:v>82328</x:v>
      </x:c>
      <x:c r="J11" s="1"/>
    </x:row>
    <x:row r="12" ht="15" hidden="0" customHeight="1">
      <x:c r="A12" s="1"/>
      <x:c r="B12" s="1"/>
      <x:c r="C12" s="16" t="d">
        <x:v>2026-02-01T00:00:00.000Z</x:v>
      </x:c>
      <x:c r="D12" s="5" t="str">
        <x:v>Services</x:v>
      </x:c>
      <x:c r="E12" s="17" t="n">
        <x:v>488</x:v>
      </x:c>
      <x:c r="F12" s="18" t="n">
        <x:v>285.85</x:v>
      </x:c>
      <x:c r="G12" s="18" t="n">
        <x:v>108.43</x:v>
      </x:c>
      <x:c r="H12" s="17" t="n">
        <x:v>42084</x:v>
      </x:c>
      <x:c r="I12" s="17" t="n">
        <x:v>51204</x:v>
      </x:c>
      <x:c r="J12" s="1"/>
    </x:row>
    <x:row r="13" ht="15" hidden="0" customHeight="1">
      <x:c r="A13" s="1"/>
      <x:c r="B13" s="1"/>
      <x:c r="C13" s="16" t="d">
        <x:v>2026-03-01T00:00:00.000Z</x:v>
      </x:c>
      <x:c r="D13" s="5" t="str">
        <x:v>Core</x:v>
      </x:c>
      <x:c r="E13" s="17" t="n">
        <x:v>896</x:v>
      </x:c>
      <x:c r="F13" s="18" t="n">
        <x:v>411.84</x:v>
      </x:c>
      <x:c r="G13" s="18" t="n">
        <x:v>249.49</x:v>
      </x:c>
      <x:c r="H13" s="17" t="n">
        <x:v>89267</x:v>
      </x:c>
      <x:c r="I13" s="17" t="n">
        <x:v>61366</x:v>
      </x:c>
      <x:c r="J13" s="1"/>
    </x:row>
    <x:row r="14" ht="15" hidden="0" customHeight="1">
      <x:c r="A14" s="1"/>
      <x:c r="B14" s="1"/>
      <x:c r="C14" s="16" t="d">
        <x:v>2026-03-01T00:00:00.000Z</x:v>
      </x:c>
      <x:c r="D14" s="5" t="str">
        <x:v>Enterprise</x:v>
      </x:c>
      <x:c r="E14" s="17" t="n">
        <x:v>296</x:v>
      </x:c>
      <x:c r="F14" s="18" t="n">
        <x:v>1125.04</x:v>
      </x:c>
      <x:c r="G14" s="18" t="n">
        <x:v>608.63</x:v>
      </x:c>
      <x:c r="H14" s="17" t="n">
        <x:v>76228</x:v>
      </x:c>
      <x:c r="I14" s="17" t="n">
        <x:v>82492</x:v>
      </x:c>
      <x:c r="J14" s="1"/>
    </x:row>
    <x:row r="15" ht="15" hidden="0" customHeight="1">
      <x:c r="A15" s="1"/>
      <x:c r="B15" s="1"/>
      <x:c r="C15" s="16" t="d">
        <x:v>2026-03-01T00:00:00.000Z</x:v>
      </x:c>
      <x:c r="D15" s="5" t="str">
        <x:v>Services</x:v>
      </x:c>
      <x:c r="E15" s="17" t="n">
        <x:v>534</x:v>
      </x:c>
      <x:c r="F15" s="18" t="n">
        <x:v>286.28</x:v>
      </x:c>
      <x:c r="G15" s="18" t="n">
        <x:v>108.65</x:v>
      </x:c>
      <x:c r="H15" s="17" t="n">
        <x:v>42126</x:v>
      </x:c>
      <x:c r="I15" s="17" t="n">
        <x:v>51306</x:v>
      </x:c>
      <x:c r="J15" s="1"/>
    </x:row>
    <x:row r="16" ht="15" hidden="0" customHeight="1">
      <x:c r="A16" s="1"/>
      <x:c r="B16" s="1"/>
      <x:c r="C16" s="16" t="d">
        <x:v>2026-04-01T00:00:00.000Z</x:v>
      </x:c>
      <x:c r="D16" s="5" t="str">
        <x:v>Core</x:v>
      </x:c>
      <x:c r="E16" s="17" t="n">
        <x:v>883</x:v>
      </x:c>
      <x:c r="F16" s="18" t="n">
        <x:v>412.46</x:v>
      </x:c>
      <x:c r="G16" s="18" t="n">
        <x:v>249.98</x:v>
      </x:c>
      <x:c r="H16" s="17" t="n">
        <x:v>89356</x:v>
      </x:c>
      <x:c r="I16" s="17" t="n">
        <x:v>61488</x:v>
      </x:c>
      <x:c r="J16" s="1"/>
    </x:row>
    <x:row r="17" ht="15" hidden="0" customHeight="1">
      <x:c r="A17" s="1"/>
      <x:c r="B17" s="1"/>
      <x:c r="C17" s="16" t="d">
        <x:v>2026-04-01T00:00:00.000Z</x:v>
      </x:c>
      <x:c r="D17" s="5" t="str">
        <x:v>Enterprise</x:v>
      </x:c>
      <x:c r="E17" s="17" t="n">
        <x:v>292</x:v>
      </x:c>
      <x:c r="F17" s="18" t="n">
        <x:v>1126.72</x:v>
      </x:c>
      <x:c r="G17" s="18" t="n">
        <x:v>609.84</x:v>
      </x:c>
      <x:c r="H17" s="17" t="n">
        <x:v>76304</x:v>
      </x:c>
      <x:c r="I17" s="17" t="n">
        <x:v>82656</x:v>
      </x:c>
      <x:c r="J17" s="1"/>
    </x:row>
    <x:row r="18" ht="15" hidden="0" customHeight="1">
      <x:c r="A18" s="1"/>
      <x:c r="B18" s="1"/>
      <x:c r="C18" s="16" t="d">
        <x:v>2026-04-01T00:00:00.000Z</x:v>
      </x:c>
      <x:c r="D18" s="5" t="str">
        <x:v>Services</x:v>
      </x:c>
      <x:c r="E18" s="17" t="n">
        <x:v>526</x:v>
      </x:c>
      <x:c r="F18" s="18" t="n">
        <x:v>286.71</x:v>
      </x:c>
      <x:c r="G18" s="18" t="n">
        <x:v>108.86</x:v>
      </x:c>
      <x:c r="H18" s="17" t="n">
        <x:v>42168</x:v>
      </x:c>
      <x:c r="I18" s="17" t="n">
        <x:v>51408</x:v>
      </x:c>
      <x:c r="J18" s="1"/>
    </x:row>
    <x:row r="19" ht="15" hidden="0" customHeight="1">
      <x:c r="A19" s="1"/>
      <x:c r="B19" s="1"/>
      <x:c r="C19" s="16" t="d">
        <x:v>2026-05-01T00:00:00.000Z</x:v>
      </x:c>
      <x:c r="D19" s="5" t="str">
        <x:v>Core</x:v>
      </x:c>
      <x:c r="E19" s="17" t="n">
        <x:v>925</x:v>
      </x:c>
      <x:c r="F19" s="18" t="n">
        <x:v>413.08</x:v>
      </x:c>
      <x:c r="G19" s="18" t="n">
        <x:v>250.48</x:v>
      </x:c>
      <x:c r="H19" s="17" t="n">
        <x:v>89445</x:v>
      </x:c>
      <x:c r="I19" s="17" t="n">
        <x:v>61610</x:v>
      </x:c>
      <x:c r="J19" s="1"/>
    </x:row>
    <x:row r="20" ht="15" hidden="0" customHeight="1">
      <x:c r="A20" s="1"/>
      <x:c r="B20" s="1"/>
      <x:c r="C20" s="16" t="d">
        <x:v>2026-05-01T00:00:00.000Z</x:v>
      </x:c>
      <x:c r="D20" s="5" t="str">
        <x:v>Enterprise</x:v>
      </x:c>
      <x:c r="E20" s="17" t="n">
        <x:v>306</x:v>
      </x:c>
      <x:c r="F20" s="18" t="n">
        <x:v>1128.4</x:v>
      </x:c>
      <x:c r="G20" s="18" t="n">
        <x:v>611.05</x:v>
      </x:c>
      <x:c r="H20" s="17" t="n">
        <x:v>76380</x:v>
      </x:c>
      <x:c r="I20" s="17" t="n">
        <x:v>82820</x:v>
      </x:c>
      <x:c r="J20" s="1"/>
    </x:row>
    <x:row r="21" ht="15" hidden="0" customHeight="1">
      <x:c r="A21" s="1"/>
      <x:c r="B21" s="1"/>
      <x:c r="C21" s="16" t="d">
        <x:v>2026-05-01T00:00:00.000Z</x:v>
      </x:c>
      <x:c r="D21" s="5" t="str">
        <x:v>Services</x:v>
      </x:c>
      <x:c r="E21" s="17" t="n">
        <x:v>551</x:v>
      </x:c>
      <x:c r="F21" s="18" t="n">
        <x:v>287.14</x:v>
      </x:c>
      <x:c r="G21" s="18" t="n">
        <x:v>109.08</x:v>
      </x:c>
      <x:c r="H21" s="17" t="n">
        <x:v>42210</x:v>
      </x:c>
      <x:c r="I21" s="17" t="n">
        <x:v>51510</x:v>
      </x:c>
      <x:c r="J21" s="1"/>
    </x:row>
    <x:row r="22" ht="15" hidden="0" customHeight="1">
      <x:c r="A22" s="1"/>
      <x:c r="B22" s="1"/>
      <x:c r="C22" s="16" t="d">
        <x:v>2026-06-01T00:00:00.000Z</x:v>
      </x:c>
      <x:c r="D22" s="5" t="str">
        <x:v>Core</x:v>
      </x:c>
      <x:c r="E22" s="17" t="n">
        <x:v>912</x:v>
      </x:c>
      <x:c r="F22" s="18" t="n">
        <x:v>413.69</x:v>
      </x:c>
      <x:c r="G22" s="18" t="n">
        <x:v>250.98</x:v>
      </x:c>
      <x:c r="H22" s="17" t="n">
        <x:v>89534</x:v>
      </x:c>
      <x:c r="I22" s="17" t="n">
        <x:v>61732</x:v>
      </x:c>
      <x:c r="J22" s="1"/>
    </x:row>
    <x:row r="23" ht="15" hidden="0" customHeight="1">
      <x:c r="A23" s="1"/>
      <x:c r="B23" s="1"/>
      <x:c r="C23" s="16" t="d">
        <x:v>2026-06-01T00:00:00.000Z</x:v>
      </x:c>
      <x:c r="D23" s="5" t="str">
        <x:v>Enterprise</x:v>
      </x:c>
      <x:c r="E23" s="17" t="n">
        <x:v>302</x:v>
      </x:c>
      <x:c r="F23" s="18" t="n">
        <x:v>1130.08</x:v>
      </x:c>
      <x:c r="G23" s="18" t="n">
        <x:v>612.26</x:v>
      </x:c>
      <x:c r="H23" s="17" t="n">
        <x:v>76456</x:v>
      </x:c>
      <x:c r="I23" s="17" t="n">
        <x:v>82984</x:v>
      </x:c>
      <x:c r="J23" s="1"/>
    </x:row>
    <x:row r="24" ht="15" hidden="0" customHeight="1">
      <x:c r="A24" s="1"/>
      <x:c r="B24" s="1"/>
      <x:c r="C24" s="16" t="d">
        <x:v>2026-06-01T00:00:00.000Z</x:v>
      </x:c>
      <x:c r="D24" s="5" t="str">
        <x:v>Services</x:v>
      </x:c>
      <x:c r="E24" s="17" t="n">
        <x:v>543</x:v>
      </x:c>
      <x:c r="F24" s="18" t="n">
        <x:v>287.56</x:v>
      </x:c>
      <x:c r="G24" s="18" t="n">
        <x:v>109.3</x:v>
      </x:c>
      <x:c r="H24" s="17" t="n">
        <x:v>42252</x:v>
      </x:c>
      <x:c r="I24" s="17" t="n">
        <x:v>51612</x:v>
      </x:c>
      <x:c r="J24" s="1"/>
    </x:row>
    <x:row r="25" ht="22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</x:row>
    <x:row r="26" ht="22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</x:row>
    <x:row r="27" ht="22" customHeight="1">
      <x:c r="A27" s="1"/>
      <x:c r="B27" s="1"/>
      <x:c r="C27" s="5" t="str">
        <x:v>Source: existing fpa-forecast-scenario-planning synthetic_actuals_h1.csv.</x:v>
      </x:c>
      <x:c r="D27" s="5"/>
      <x:c r="E27" s="5"/>
      <x:c r="F27" s="5"/>
      <x:c r="G27" s="5"/>
      <x:c r="H27" s="5"/>
      <x:c r="I27" s="5"/>
      <x:c r="J27" s="5"/>
      <x:c r="K27" s="19"/>
    </x:row>
    <x:row r="28" ht="22" customHeight="1">
      <x:c r="A28" s="1"/>
      <x:c r="B28" s="1"/>
      <x:c r="C28" s="5"/>
      <x:c r="D28" s="5"/>
      <x:c r="E28" s="5"/>
      <x:c r="F28" s="5"/>
      <x:c r="G28" s="5"/>
      <x:c r="H28" s="5"/>
      <x:c r="I28" s="5"/>
      <x:c r="J28" s="5"/>
      <x:c r="K28" s="19"/>
    </x:row>
    <x:row r="29" ht="22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</x:row>
    <x:row r="30" ht="22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</x:row>
    <x:row r="31" ht="22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</x:row>
    <x:row r="32" ht="22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</x:row>
    <x:row r="33" ht="22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</x:row>
    <x:row r="34" ht="22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</x:row>
    <x:row r="35" ht="22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</x:row>
    <x:row r="36" ht="22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</x:row>
    <x:row r="37" ht="22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</x:row>
    <x:row r="38" ht="22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</x:row>
    <x:row r="39" ht="22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</x:row>
    <x:row r="40" ht="22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</x:row>
    <x:row r="41" ht="22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</x:row>
    <x:row r="42" ht="22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</x:row>
    <x:row r="43" ht="22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</x:row>
    <x:row r="44" ht="22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</x:row>
    <x:row r="45" ht="22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</x:row>
    <x:row r="46" ht="22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</x:row>
    <x:row r="47" ht="22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</x:row>
    <x:row r="48" ht="22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</x:row>
    <x:row r="49" ht="22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</x:row>
    <x:row r="50" ht="22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</x:row>
    <x:row r="51" ht="22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</x:row>
    <x:row r="52" ht="22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</x:row>
    <x:row r="53" ht="22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</x:row>
    <x:row r="54" ht="22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</x:row>
    <x:row r="55" ht="22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</x:row>
    <x:row r="56" ht="22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</x:row>
    <x:row r="57" ht="22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</x:row>
    <x:row r="58" ht="22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</x:row>
    <x:row r="59" ht="22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</x:row>
    <x:row r="60" ht="22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</x:row>
    <x:row r="61" ht="22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</x:row>
    <x:row r="62" ht="22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</x:row>
    <x:row r="63" ht="22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</x:row>
    <x:row r="64" ht="22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</x:row>
    <x:row r="65" ht="22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</x:row>
  </x:sheetData>
  <x:mergeCells>
    <x:mergeCell ref="C27:K28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" hidden="0" customWidth="1"/>
    <x:col min="2" max="2" width="3" hidden="0" customWidth="1"/>
    <x:col min="3" max="3" width="26" hidden="0" customWidth="1"/>
    <x:col min="4" max="4" width="26" hidden="0" customWidth="1"/>
    <x:col min="5" max="5" width="26" hidden="0" customWidth="1"/>
    <x:col min="6" max="6" width="26" hidden="0" customWidth="1"/>
    <x:col min="7" max="7" width="26" hidden="0" customWidth="1"/>
    <x:col min="8" max="8" width="26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</x:cols>
  <x:sheetData>
    <x:row r="1" ht="22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</x:row>
    <x:row r="2" ht="22" customHeight="1">
      <x:c r="A2" s="1"/>
      <x:c r="B2" s="1"/>
      <x:c r="C2" s="2" t="str">
        <x:v>Simulated operating follow-up</x:v>
      </x:c>
      <x:c r="D2" s="1"/>
      <x:c r="E2" s="1"/>
      <x:c r="F2" s="1"/>
      <x:c r="G2" s="1"/>
      <x:c r="H2" s="1"/>
      <x:c r="I2" s="1"/>
      <x:c r="J2" s="1"/>
      <x:c r="K2" s="1"/>
      <x:c r="L2" s="1"/>
    </x:row>
    <x:row r="3" ht="22" customHeight="1">
      <x:c r="A3" s="1"/>
      <x:c r="B3" s="1"/>
      <x:c r="C3" s="3"/>
      <x:c r="D3" s="3"/>
      <x:c r="E3" s="3"/>
      <x:c r="F3" s="3"/>
      <x:c r="G3" s="3"/>
      <x:c r="H3" s="3"/>
      <x:c r="I3" s="3"/>
      <x:c r="J3" s="3"/>
      <x:c r="K3" s="3"/>
      <x:c r="L3" s="3"/>
    </x:row>
    <x:row r="4" ht="22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</x:row>
    <x:row r="5" ht="22" customHeight="1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</x:row>
    <x:row r="6" ht="15" hidden="0" customHeight="1">
      <x:c r="A6" s="1"/>
      <x:c r="B6" s="1"/>
      <x:c r="C6" s="14" t="str">
        <x:v>Measure</x:v>
      </x:c>
      <x:c r="D6" s="14" t="str">
        <x:v>Frozen plan</x:v>
      </x:c>
      <x:c r="E6" s="14" t="str">
        <x:v>Simulated observation</x:v>
      </x:c>
      <x:c r="F6" s="14" t="str">
        <x:v>Variance</x:v>
      </x:c>
      <x:c r="G6" s="14" t="str">
        <x:v>Review threshold</x:v>
      </x:c>
      <x:c r="H6" s="14" t="str">
        <x:v>Decision</x:v>
      </x:c>
      <x:c r="I6" s="1"/>
      <x:c r="J6" s="1"/>
      <x:c r="K6" s="1"/>
      <x:c r="L6" s="1"/>
    </x:row>
    <x:row r="7" ht="15" hidden="0" customHeight="1">
      <x:c r="A7" s="1"/>
      <x:c r="B7" s="1"/>
      <x:c r="C7" s="5" t="str">
        <x:v>July revenue</x:v>
      </x:c>
      <x:c r="D7" s="34" t="n">
        <x:v>936000</x:v>
      </x:c>
      <x:c r="E7" s="35" t="n">
        <x:v>872000</x:v>
      </x:c>
      <x:c r="F7" s="32" t="n">
        <x:f>E7-D7</x:f>
        <x:v>-64000</x:v>
      </x:c>
      <x:c r="G7" s="5" t="n">
        <x:v>0.05</x:v>
      </x:c>
      <x:c r="H7" s="30" t="str">
        <x:f>IF(E7&lt;D7*(1-G7),"Reforecast","Monitor")</x:f>
        <x:v>Reforecast</x:v>
      </x:c>
      <x:c r="I7" s="1"/>
      <x:c r="J7" s="1"/>
      <x:c r="K7" s="1"/>
      <x:c r="L7" s="1"/>
    </x:row>
    <x:row r="8" ht="15" hidden="0" customHeight="1">
      <x:c r="A8" s="1"/>
      <x:c r="B8" s="1"/>
      <x:c r="C8" s="5" t="str">
        <x:v>July EBITDA</x:v>
      </x:c>
      <x:c r="D8" s="34" t="n">
        <x:v>-28000</x:v>
      </x:c>
      <x:c r="E8" s="35" t="n">
        <x:v>-48000</x:v>
      </x:c>
      <x:c r="F8" s="32" t="n">
        <x:f>E8-D8</x:f>
        <x:v>-20000</x:v>
      </x:c>
      <x:c r="G8" s="5" t="n">
        <x:v>0</x:v>
      </x:c>
      <x:c r="H8" s="30" t="str">
        <x:f>IF(E8&lt;G8,"Review margin drivers","Monitor")</x:f>
        <x:v>Review margin drivers</x:v>
      </x:c>
      <x:c r="I8" s="1"/>
      <x:c r="J8" s="1"/>
      <x:c r="K8" s="1"/>
      <x:c r="L8" s="1"/>
    </x:row>
    <x:row r="9" ht="15" hidden="0" customHeight="1">
      <x:c r="A9" s="1"/>
      <x:c r="B9" s="1"/>
      <x:c r="C9" s="5" t="str">
        <x:v>July ending cash</x:v>
      </x:c>
      <x:c r="D9" s="34" t="n">
        <x:v>420000</x:v>
      </x:c>
      <x:c r="E9" s="35" t="n">
        <x:v>401000</x:v>
      </x:c>
      <x:c r="F9" s="32" t="n">
        <x:f>E9-D9</x:f>
        <x:v>-19000</x:v>
      </x:c>
      <x:c r="G9" s="5" t="n">
        <x:v>250000</x:v>
      </x:c>
      <x:c r="H9" s="30" t="str">
        <x:f>IF(E9&lt;G9,"Escalate cash","Monitor")</x:f>
        <x:v>Monitor</x:v>
      </x:c>
      <x:c r="I9" s="1"/>
      <x:c r="J9" s="1"/>
      <x:c r="K9" s="1"/>
      <x:c r="L9" s="1"/>
    </x:row>
    <x:row r="10" ht="15" hidden="0" customHeight="1">
      <x:c r="A10" s="1"/>
      <x:c r="B10" s="1"/>
      <x:c r="C10" s="5" t="str">
        <x:v>On-time service</x:v>
      </x:c>
      <x:c r="D10" s="36" t="n">
        <x:v>0.95</x:v>
      </x:c>
      <x:c r="E10" s="36" t="n">
        <x:v>0.932</x:v>
      </x:c>
      <x:c r="F10" s="33" t="n">
        <x:f>E10-D10</x:f>
        <x:v>-0.017999999999999905</x:v>
      </x:c>
      <x:c r="G10" s="36" t="n">
        <x:v>0.95</x:v>
      </x:c>
      <x:c r="H10" s="30" t="str">
        <x:f>IF(E10&lt;G10,"Review service capacity","Monitor")</x:f>
        <x:v>Review service capacity</x:v>
      </x:c>
      <x:c r="I10" s="1"/>
      <x:c r="J10" s="1"/>
      <x:c r="K10" s="1"/>
      <x:c r="L10" s="1"/>
    </x:row>
    <x:row r="11" ht="22" customHeight="1">
      <x:c r="A11" s="1"/>
      <x:c r="B11" s="1"/>
      <x:c r="C11" s="1"/>
      <x:c r="D11" s="1"/>
      <x:c r="E11" s="1"/>
      <x:c r="F11" s="1"/>
      <x:c r="G11" s="1"/>
      <x:c r="H11" s="1"/>
      <x:c r="I11" s="1"/>
      <x:c r="J11" s="1"/>
      <x:c r="K11" s="1"/>
      <x:c r="L11" s="1"/>
    </x:row>
    <x:row r="12" ht="22" customHeight="1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  <x:c r="L12" s="1"/>
    </x:row>
    <x:row r="13" ht="22" customHeight="1">
      <x:c r="A13" s="1"/>
      <x:c r="B13" s="1"/>
      <x:c r="C13" s="5" t="str">
        <x:v>Separate synthetic monitoring exercise. Frozen plan is an illustrative management target.</x:v>
      </x:c>
      <x:c r="D13" s="5"/>
      <x:c r="E13" s="5"/>
      <x:c r="F13" s="5"/>
      <x:c r="G13" s="5"/>
      <x:c r="H13" s="5"/>
      <x:c r="I13" s="5"/>
      <x:c r="J13" s="5"/>
      <x:c r="K13" s="5"/>
      <x:c r="L13" s="5"/>
    </x:row>
    <x:row r="14" ht="22" customHeight="1">
      <x:c r="A14" s="1"/>
      <x:c r="B14" s="1"/>
      <x:c r="C14" s="5"/>
      <x:c r="D14" s="5"/>
      <x:c r="E14" s="5"/>
      <x:c r="F14" s="5"/>
      <x:c r="G14" s="5"/>
      <x:c r="H14" s="5"/>
      <x:c r="I14" s="5"/>
      <x:c r="J14" s="5"/>
      <x:c r="K14" s="5"/>
      <x:c r="L14" s="5"/>
    </x:row>
    <x:row r="15" ht="22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  <x:c r="L15" s="1"/>
    </x:row>
    <x:row r="16" ht="22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</x:row>
    <x:row r="17" ht="22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</x:row>
    <x:row r="18" ht="22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</x:row>
    <x:row r="19" ht="22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</x:row>
    <x:row r="20" ht="22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</x:row>
    <x:row r="21" ht="22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</x:row>
    <x:row r="22" ht="22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</x:row>
    <x:row r="23" ht="22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</x:row>
    <x:row r="24" ht="22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</x:row>
    <x:row r="25" ht="22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</x:row>
    <x:row r="26" ht="22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</x:row>
    <x:row r="27" ht="22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</x:row>
    <x:row r="28" ht="22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</x:row>
    <x:row r="29" ht="22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</x:row>
    <x:row r="30" ht="22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</x:row>
    <x:row r="31" ht="22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</x:row>
    <x:row r="32" ht="22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</x:row>
    <x:row r="33" ht="22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</x:row>
    <x:row r="34" ht="22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</x:row>
    <x:row r="35" ht="22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</x:row>
    <x:row r="36" ht="22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</x:row>
    <x:row r="37" ht="22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</x:row>
    <x:row r="38" ht="22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</x:row>
    <x:row r="39" ht="22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</x:row>
    <x:row r="40" ht="22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</x:row>
    <x:row r="41" ht="22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</x:row>
    <x:row r="42" ht="22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</x:row>
    <x:row r="43" ht="22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</x:row>
    <x:row r="44" ht="22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</x:row>
    <x:row r="45" ht="22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</x:row>
    <x:row r="46" ht="22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</x:row>
    <x:row r="47" ht="22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</x:row>
    <x:row r="48" ht="22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</x:row>
    <x:row r="49" ht="22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</x:row>
    <x:row r="50" ht="22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</x:row>
    <x:row r="51" ht="22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</x:row>
    <x:row r="52" ht="22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</x:row>
    <x:row r="53" ht="22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</x:row>
    <x:row r="54" ht="22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</x:row>
    <x:row r="55" ht="22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</x:row>
    <x:row r="56" ht="22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</x:row>
    <x:row r="57" ht="22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</x:row>
    <x:row r="58" ht="22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</x:row>
    <x:row r="59" ht="22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</x:row>
    <x:row r="60" ht="22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</x:row>
    <x:row r="61" ht="22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</x:row>
    <x:row r="62" ht="22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</x:row>
    <x:row r="63" ht="22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</x:row>
    <x:row r="64" ht="22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</x:row>
    <x:row r="65" ht="22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</x:row>
  </x:sheetData>
  <x:mergeCells>
    <x:mergeCell ref="C13:L14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3" hidden="0" customWidth="1"/>
    <x:col min="2" max="2" width="3" hidden="0" customWidth="1"/>
    <x:col min="3" max="3" width="27" hidden="0" customWidth="1"/>
    <x:col min="4" max="4" width="27" hidden="0" customWidth="1"/>
    <x:col min="5" max="5" width="27" hidden="0" customWidth="1"/>
    <x:col min="6" max="6" width="27" hidden="0" customWidth="1"/>
    <x:col min="7" max="7" width="27" hidden="0" customWidth="1"/>
    <x:col min="8" max="8" width="27" hidden="0" customWidth="1"/>
    <x:col min="9" max="9" width="27" hidden="0" customWidth="1"/>
    <x:col min="10" max="10" width="17" hidden="0" customWidth="1"/>
    <x:col min="11" max="11" width="17" hidden="0" customWidth="1"/>
    <x:col min="12" max="12" width="17" hidden="0" customWidth="1"/>
  </x:cols>
  <x:sheetData>
    <x:row r="1" ht="22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</x:row>
    <x:row r="2" ht="22" customHeight="1">
      <x:c r="A2" s="1"/>
      <x:c r="B2" s="1"/>
      <x:c r="C2" s="2" t="str">
        <x:v>Decision ownership and approval</x:v>
      </x:c>
      <x:c r="D2" s="1"/>
      <x:c r="E2" s="1"/>
      <x:c r="F2" s="1"/>
      <x:c r="G2" s="1"/>
      <x:c r="H2" s="1"/>
      <x:c r="I2" s="1"/>
      <x:c r="J2" s="1"/>
      <x:c r="K2" s="1"/>
      <x:c r="L2" s="1"/>
    </x:row>
    <x:row r="3" ht="22" customHeight="1">
      <x:c r="A3" s="1"/>
      <x:c r="B3" s="1"/>
      <x:c r="C3" s="3"/>
      <x:c r="D3" s="3"/>
      <x:c r="E3" s="3"/>
      <x:c r="F3" s="3"/>
      <x:c r="G3" s="3"/>
      <x:c r="H3" s="3"/>
      <x:c r="I3" s="3"/>
      <x:c r="J3" s="3"/>
      <x:c r="K3" s="3"/>
      <x:c r="L3" s="3"/>
    </x:row>
    <x:row r="4" ht="22" customHeight="1">
      <x:c r="A4" s="1"/>
      <x:c r="B4" s="1"/>
      <x:c r="C4" s="1" t="str">
        <x:v>Roles and deadlines are proposed within a synthetic case.</x:v>
      </x:c>
      <x:c r="D4" s="1"/>
      <x:c r="E4" s="1"/>
      <x:c r="F4" s="1"/>
      <x:c r="G4" s="1"/>
      <x:c r="H4" s="1"/>
      <x:c r="I4" s="1"/>
      <x:c r="J4" s="1"/>
      <x:c r="K4" s="1"/>
      <x:c r="L4" s="1"/>
    </x:row>
    <x:row r="5" ht="22" customHeight="1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</x:row>
    <x:row r="6" ht="15" hidden="0" customHeight="1">
      <x:c r="A6" s="1"/>
      <x:c r="B6" s="1"/>
      <x:c r="C6" s="14" t="str">
        <x:v>Action</x:v>
      </x:c>
      <x:c r="D6" s="14" t="str">
        <x:v>Proposed owner</x:v>
      </x:c>
      <x:c r="E6" s="14" t="str">
        <x:v>Due from approval</x:v>
      </x:c>
      <x:c r="F6" s="14" t="str">
        <x:v>Trigger / evidence</x:v>
      </x:c>
      <x:c r="G6" s="14" t="str">
        <x:v>Approval needed</x:v>
      </x:c>
      <x:c r="H6" s="14" t="str">
        <x:v>Status</x:v>
      </x:c>
      <x:c r="I6" s="14" t="str">
        <x:v>Evidence link</x:v>
      </x:c>
      <x:c r="J6" s="1"/>
      <x:c r="K6" s="1"/>
      <x:c r="L6" s="1"/>
    </x:row>
    <x:row r="7" ht="26.399999618530273" hidden="0" customHeight="1">
      <x:c r="A7" s="1"/>
      <x:c r="B7" s="1"/>
      <x:c r="C7" s="5" t="str">
        <x:v>Validate price and cost assumptions</x:v>
      </x:c>
      <x:c r="D7" s="5" t="str">
        <x:v>Finance + Sales</x:v>
      </x:c>
      <x:c r="E7" s="5" t="str">
        <x:v>Day 5</x:v>
      </x:c>
      <x:c r="F7" s="5" t="str">
        <x:v>July driver variance reconciled</x:v>
      </x:c>
      <x:c r="G7" s="5" t="str">
        <x:v>Finance lead</x:v>
      </x:c>
      <x:c r="H7" s="5" t="str">
        <x:v>Proposed</x:v>
      </x:c>
      <x:c r="I7" s="5" t="str"/>
      <x:c r="J7" s="1"/>
      <x:c r="K7" s="1"/>
      <x:c r="L7" s="1"/>
    </x:row>
    <x:row r="8" ht="26.399999618530273" hidden="0" customHeight="1">
      <x:c r="A8" s="1"/>
      <x:c r="B8" s="1"/>
      <x:c r="C8" s="5" t="str">
        <x:v>Review low-margin contracts</x:v>
      </x:c>
      <x:c r="D8" s="5" t="str">
        <x:v>Commercial + Operations</x:v>
      </x:c>
      <x:c r="E8" s="5" t="str">
        <x:v>Day 10</x:v>
      </x:c>
      <x:c r="F8" s="5" t="str">
        <x:v>EBITDA margin below 3%</x:v>
      </x:c>
      <x:c r="G8" s="5" t="str">
        <x:v>Commercial lead</x:v>
      </x:c>
      <x:c r="H8" s="5" t="str">
        <x:v>Proposed</x:v>
      </x:c>
      <x:c r="I8" s="5" t="str"/>
      <x:c r="J8" s="1"/>
      <x:c r="K8" s="1"/>
      <x:c r="L8" s="1"/>
    </x:row>
    <x:row r="9" ht="26.399999618530273" hidden="0" customHeight="1">
      <x:c r="A9" s="1"/>
      <x:c r="B9" s="1"/>
      <x:c r="C9" s="5" t="str">
        <x:v>Reforecast and approve actions</x:v>
      </x:c>
      <x:c r="D9" s="5" t="str">
        <x:v>Finance lead</x:v>
      </x:c>
      <x:c r="E9" s="5" t="str">
        <x:v>Monthly close + 5 days</x:v>
      </x:c>
      <x:c r="F9" s="5" t="str">
        <x:v>Volume misses plan &gt;5%</x:v>
      </x:c>
      <x:c r="G9" s="5" t="str">
        <x:v>Business unit lead</x:v>
      </x:c>
      <x:c r="H9" s="5" t="str">
        <x:v>Proposed</x:v>
      </x:c>
      <x:c r="I9" s="5" t="str"/>
      <x:c r="J9" s="1"/>
      <x:c r="K9" s="1"/>
      <x:c r="L9" s="1"/>
    </x:row>
    <x:row r="10" ht="15" hidden="0" customHeight="1">
      <x:c r="A10" s="1"/>
      <x:c r="B10" s="1"/>
      <x:c r="C10" s="5" t="str">
        <x:v>Monitor cash and capex</x:v>
      </x:c>
      <x:c r="D10" s="5" t="str">
        <x:v>Treasury + Operations</x:v>
      </x:c>
      <x:c r="E10" s="5" t="str">
        <x:v>Weekly</x:v>
      </x:c>
      <x:c r="F10" s="5" t="str">
        <x:v>Cash below $250,000</x:v>
      </x:c>
      <x:c r="G10" s="5" t="str">
        <x:v>Finance lead</x:v>
      </x:c>
      <x:c r="H10" s="5" t="str">
        <x:v>Proposed</x:v>
      </x:c>
      <x:c r="I10" s="5" t="str"/>
      <x:c r="J10" s="1"/>
      <x:c r="K10" s="1"/>
      <x:c r="L10" s="1"/>
    </x:row>
    <x:row r="11" ht="22" customHeight="1">
      <x:c r="A11" s="1"/>
      <x:c r="B11" s="1"/>
      <x:c r="C11" s="1"/>
      <x:c r="D11" s="1"/>
      <x:c r="E11" s="1"/>
      <x:c r="F11" s="1"/>
      <x:c r="G11" s="1"/>
      <x:c r="H11" s="1"/>
      <x:c r="I11" s="1"/>
      <x:c r="J11" s="1"/>
      <x:c r="K11" s="1"/>
      <x:c r="L11" s="1"/>
    </x:row>
    <x:row r="12" ht="22" customHeight="1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  <x:c r="L12" s="1"/>
    </x:row>
    <x:row r="13" ht="22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  <x:c r="L13" s="1"/>
    </x:row>
    <x:row r="14" ht="22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  <x:c r="L14" s="1"/>
    </x:row>
    <x:row r="15" ht="22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  <x:c r="L15" s="1"/>
    </x:row>
    <x:row r="16" ht="22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</x:row>
    <x:row r="17" ht="22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</x:row>
    <x:row r="18" ht="22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</x:row>
    <x:row r="19" ht="22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</x:row>
    <x:row r="20" ht="22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</x:row>
    <x:row r="21" ht="22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</x:row>
    <x:row r="22" ht="22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</x:row>
    <x:row r="23" ht="22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</x:row>
    <x:row r="24" ht="22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</x:row>
    <x:row r="25" ht="22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</x:row>
    <x:row r="26" ht="22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</x:row>
    <x:row r="27" ht="22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</x:row>
    <x:row r="28" ht="22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</x:row>
    <x:row r="29" ht="22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</x:row>
    <x:row r="30" ht="22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</x:row>
    <x:row r="31" ht="22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</x:row>
    <x:row r="32" ht="22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</x:row>
    <x:row r="33" ht="22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</x:row>
    <x:row r="34" ht="22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</x:row>
    <x:row r="35" ht="22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</x:row>
    <x:row r="36" ht="22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</x:row>
    <x:row r="37" ht="22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</x:row>
    <x:row r="38" ht="22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</x:row>
    <x:row r="39" ht="22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</x:row>
    <x:row r="40" ht="22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</x:row>
    <x:row r="41" ht="22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</x:row>
    <x:row r="42" ht="22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</x:row>
    <x:row r="43" ht="22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</x:row>
    <x:row r="44" ht="22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</x:row>
    <x:row r="45" ht="22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</x:row>
    <x:row r="46" ht="22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</x:row>
    <x:row r="47" ht="22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</x:row>
    <x:row r="48" ht="22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</x:row>
    <x:row r="49" ht="22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</x:row>
    <x:row r="50" ht="22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</x:row>
    <x:row r="51" ht="22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</x:row>
    <x:row r="52" ht="22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</x:row>
    <x:row r="53" ht="22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</x:row>
    <x:row r="54" ht="22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</x:row>
    <x:row r="55" ht="22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</x:row>
    <x:row r="56" ht="22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</x:row>
    <x:row r="57" ht="22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</x:row>
    <x:row r="58" ht="22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</x:row>
    <x:row r="59" ht="22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</x:row>
    <x:row r="60" ht="22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</x:row>
    <x:row r="61" ht="22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</x:row>
    <x:row r="62" ht="22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</x:row>
    <x:row r="63" ht="22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</x:row>
    <x:row r="64" ht="22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</x:row>
    <x:row r="65" ht="22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</x:row>
  </x:sheetData>
  <x:mergeCells>
    <x:mergeCell ref="C4:I4"/>
  </x:mergeCells>
  <x:dataValidations count="1">
    <x:dataValidation type="list" sqref="H7:H10">
      <x:formula1>"Proposed,In progress,Completed,Blocked"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" hidden="0" customWidth="1"/>
    <x:col min="2" max="2" width="3" hidden="0" customWidth="1"/>
    <x:col min="3" max="3" width="42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</x:cols>
  <x:sheetData>
    <x:row r="1" ht="22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</x:row>
    <x:row r="2" ht="22" customHeight="1">
      <x:c r="A2" s="1"/>
      <x:c r="B2" s="1"/>
      <x:c r="C2" s="2" t="str">
        <x:v>Reconciliation checks</x:v>
      </x:c>
      <x:c r="D2" s="1"/>
      <x:c r="E2" s="1"/>
      <x:c r="F2" s="1"/>
      <x:c r="G2" s="1"/>
      <x:c r="H2" s="1"/>
      <x:c r="I2" s="1"/>
      <x:c r="J2" s="1"/>
      <x:c r="K2" s="1"/>
      <x:c r="L2" s="1"/>
    </x:row>
    <x:row r="3" ht="22" customHeight="1">
      <x:c r="A3" s="1"/>
      <x:c r="B3" s="1"/>
      <x:c r="C3" s="3"/>
      <x:c r="D3" s="3"/>
      <x:c r="E3" s="3"/>
      <x:c r="F3" s="3"/>
      <x:c r="G3" s="3"/>
      <x:c r="H3" s="3"/>
      <x:c r="I3" s="3"/>
      <x:c r="J3" s="3"/>
      <x:c r="K3" s="3"/>
      <x:c r="L3" s="3"/>
    </x:row>
    <x:row r="4" ht="22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</x:row>
    <x:row r="5" ht="22" customHeight="1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</x:row>
    <x:row r="6" ht="15" hidden="0" customHeight="1">
      <x:c r="A6" s="1"/>
      <x:c r="B6" s="1"/>
      <x:c r="C6" s="14" t="str">
        <x:v>Check</x:v>
      </x:c>
      <x:c r="D6" s="14" t="str">
        <x:v>Difference</x:v>
      </x:c>
      <x:c r="E6" s="14" t="str">
        <x:v>Tolerance (USD)</x:v>
      </x:c>
      <x:c r="F6" s="1"/>
      <x:c r="G6" s="1"/>
      <x:c r="H6" s="1"/>
      <x:c r="I6" s="1"/>
      <x:c r="J6" s="1"/>
      <x:c r="K6" s="1"/>
      <x:c r="L6" s="1"/>
    </x:row>
    <x:row r="7" ht="15" hidden="0" customHeight="1">
      <x:c r="A7" s="1"/>
      <x:c r="B7" s="1"/>
      <x:c r="C7" s="5" t="str">
        <x:v>July bridge</x:v>
      </x:c>
      <x:c r="D7" s="37" t="n">
        <x:f>'Variance'!D13-'Variance'!D12-'Variance'!D14</x:f>
        <x:v>1.291482476517558e-10</x:v>
      </x:c>
      <x:c r="E7" s="18" t="n">
        <x:v>0.01</x:v>
      </x:c>
      <x:c r="F7" s="1"/>
      <x:c r="G7" s="1"/>
      <x:c r="H7" s="1"/>
      <x:c r="I7" s="1"/>
      <x:c r="J7" s="1"/>
      <x:c r="K7" s="1"/>
      <x:c r="L7" s="1"/>
    </x:row>
    <x:row r="8" ht="15" hidden="0" customHeight="1">
      <x:c r="A8" s="1"/>
      <x:c r="B8" s="1"/>
      <x:c r="C8" s="5" t="str">
        <x:v>Cash roll-forward</x:v>
      </x:c>
      <x:c r="D8" s="37" t="n">
        <x:f>'Monthly'!O22-'Assumptions'!G9-SUM('Monthly'!J20:O20)</x:f>
        <x:v>8.731149137020111e-11</x:v>
      </x:c>
      <x:c r="E8" s="18" t="n">
        <x:v>0.01</x:v>
      </x:c>
      <x:c r="F8" s="1"/>
      <x:c r="G8" s="1"/>
      <x:c r="H8" s="1"/>
      <x:c r="I8" s="1"/>
      <x:c r="J8" s="1"/>
      <x:c r="K8" s="1"/>
      <x:c r="L8" s="1"/>
    </x:row>
    <x:row r="9" ht="15" hidden="0" customHeight="1">
      <x:c r="A9" s="1"/>
      <x:c r="B9" s="1"/>
      <x:c r="C9" s="5" t="str">
        <x:v>H1 revenue to raw inputs</x:v>
      </x:c>
      <x:c r="D9" s="37" t="n">
        <x:f>SUM('Monthly'!D7:I7)-SUMPRODUCT('Source'!E7:E24,'Source'!F7:F24)</x:f>
        <x:v>-9.313225746154785e-10</x:v>
      </x:c>
      <x:c r="E9" s="18" t="n">
        <x:v>0.01</x:v>
      </x:c>
      <x:c r="F9" s="1"/>
      <x:c r="G9" s="1"/>
      <x:c r="H9" s="1"/>
      <x:c r="I9" s="1"/>
      <x:c r="J9" s="1"/>
      <x:c r="K9" s="1"/>
      <x:c r="L9" s="1"/>
    </x:row>
    <x:row r="10" ht="22" customHeight="1">
      <x:c r="A10" s="1"/>
      <x:c r="B10" s="1"/>
      <x:c r="C10" s="1"/>
      <x:c r="D10" s="1"/>
      <x:c r="E10" s="1"/>
      <x:c r="F10" s="1"/>
      <x:c r="G10" s="1"/>
      <x:c r="H10" s="1"/>
      <x:c r="I10" s="1"/>
      <x:c r="J10" s="1"/>
      <x:c r="K10" s="1"/>
      <x:c r="L10" s="1"/>
    </x:row>
    <x:row r="11" ht="22" customHeight="1">
      <x:c r="A11" s="1"/>
      <x:c r="B11" s="1"/>
      <x:c r="C11" s="1"/>
      <x:c r="D11" s="1"/>
      <x:c r="E11" s="1"/>
      <x:c r="F11" s="1"/>
      <x:c r="G11" s="1"/>
      <x:c r="H11" s="1"/>
      <x:c r="I11" s="1"/>
      <x:c r="J11" s="1"/>
      <x:c r="K11" s="1"/>
      <x:c r="L11" s="1"/>
    </x:row>
    <x:row r="12" ht="22" customHeight="1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  <x:c r="L12" s="1"/>
    </x:row>
    <x:row r="13" ht="22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  <x:c r="L13" s="1"/>
    </x:row>
    <x:row r="14" ht="22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  <x:c r="L14" s="1"/>
    </x:row>
    <x:row r="15" ht="22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  <x:c r="L15" s="1"/>
    </x:row>
    <x:row r="16" ht="22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</x:row>
    <x:row r="17" ht="22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</x:row>
    <x:row r="18" ht="22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</x:row>
    <x:row r="19" ht="22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</x:row>
    <x:row r="20" ht="22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</x:row>
    <x:row r="21" ht="22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</x:row>
    <x:row r="22" ht="22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</x:row>
    <x:row r="23" ht="22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</x:row>
    <x:row r="24" ht="22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</x:row>
    <x:row r="25" ht="22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</x:row>
    <x:row r="26" ht="22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</x:row>
    <x:row r="27" ht="22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</x:row>
    <x:row r="28" ht="22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</x:row>
    <x:row r="29" ht="22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</x:row>
    <x:row r="30" ht="22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</x:row>
    <x:row r="31" ht="22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</x:row>
    <x:row r="32" ht="22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</x:row>
    <x:row r="33" ht="22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</x:row>
    <x:row r="34" ht="22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</x:row>
    <x:row r="35" ht="22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</x:row>
    <x:row r="36" ht="22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</x:row>
    <x:row r="37" ht="22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</x:row>
    <x:row r="38" ht="22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</x:row>
    <x:row r="39" ht="22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</x:row>
    <x:row r="40" ht="22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</x:row>
    <x:row r="41" ht="22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</x:row>
    <x:row r="42" ht="22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</x:row>
    <x:row r="43" ht="22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</x:row>
    <x:row r="44" ht="22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</x:row>
    <x:row r="45" ht="22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</x:row>
    <x:row r="46" ht="22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</x:row>
    <x:row r="47" ht="22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</x:row>
    <x:row r="48" ht="22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</x:row>
    <x:row r="49" ht="22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</x:row>
    <x:row r="50" ht="22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</x:row>
    <x:row r="51" ht="22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</x:row>
    <x:row r="52" ht="22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</x:row>
    <x:row r="53" ht="22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</x:row>
    <x:row r="54" ht="22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</x:row>
    <x:row r="55" ht="22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</x:row>
    <x:row r="56" ht="22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</x:row>
    <x:row r="57" ht="22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</x:row>
    <x:row r="58" ht="22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</x:row>
    <x:row r="59" ht="22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</x:row>
    <x:row r="60" ht="22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</x:row>
    <x:row r="61" ht="22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</x:row>
    <x:row r="62" ht="22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</x:row>
    <x:row r="63" ht="22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</x:row>
    <x:row r="64" ht="22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</x:row>
    <x:row r="65" ht="22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</x:row>
  </x:sheetData>
  <x:conditionalFormatting sqref="D7:D9">
    <x:cfRule type="expression" dxfId="0" priority="1">
      <x:formula>ABS(D7)&gt;E7</x:formula>
    </x:cfRule>
  </x:conditionalFormatting>
  <x:pageMargins left="0.7" right="0.7" top="0.75" bottom="0.75" header="0.3" footer="0.3"/>
</x:worksheet>
</file>