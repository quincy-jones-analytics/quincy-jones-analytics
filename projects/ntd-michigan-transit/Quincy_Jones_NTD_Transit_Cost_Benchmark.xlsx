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97f74e8d134d9e" /></Relationships>
</file>

<file path=xl/workbook.xml><?xml version="1.0" encoding="utf-8"?>
<x:workbook xmlns:x="http://schemas.openxmlformats.org/spreadsheetml/2006/main">
  <x:sheets>
    <x:sheet xmlns:r="http://schemas.openxmlformats.org/officeDocument/2006/relationships" name="Decision Summary" sheetId="1" r:id="Rc822df9e445a4f17"/>
    <x:sheet xmlns:r="http://schemas.openxmlformats.org/officeDocument/2006/relationships" name="Peer Analysis" sheetId="2" r:id="Ra9593ea10b47492b"/>
    <x:sheet xmlns:r="http://schemas.openxmlformats.org/officeDocument/2006/relationships" name="NTD Source" sheetId="3" r:id="Rd3a161fcc52b426e"/>
    <x:sheet xmlns:r="http://schemas.openxmlformats.org/officeDocument/2006/relationships" name="Method" sheetId="4" r:id="R264d52a1d2af4633"/>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
    <x:numFmt numFmtId="202" formatCode="0%"/>
    <x:numFmt numFmtId="203" formatCode="#,##0"/>
    <x:numFmt numFmtId="204" formatCode="0.0%"/>
  </x:numFmts>
  <x:fonts count="8">
    <x:font>
      <x:sz val="11"/>
      <x:name val="Carlito"/>
    </x:font>
    <x:font>
      <x:sz val="10"/>
      <x:color rgb="FF17212B"/>
      <x:name val="Aptos"/>
    </x:font>
    <x:font>
      <x:b/>
      <x:sz val="20"/>
      <x:color rgb="FFFFFFFF"/>
      <x:name val="Aptos"/>
    </x:font>
    <x:font>
      <x:i/>
      <x:sz val="10"/>
      <x:color rgb="FF5F6B76"/>
      <x:name val="Aptos"/>
    </x:font>
    <x:font>
      <x:b/>
      <x:sz val="10"/>
      <x:color rgb="FF12304A"/>
      <x:name val="Aptos"/>
    </x:font>
    <x:font>
      <x:b/>
      <x:sz val="14"/>
      <x:color rgb="FF12304A"/>
      <x:name val="Aptos"/>
    </x:font>
    <x:font>
      <x:b/>
      <x:sz val="10"/>
      <x:color rgb="FFFFFFFF"/>
      <x:name val="Aptos"/>
    </x:font>
    <x:font>
      <x:sz val="11"/>
      <x:color rgb="FF17212B"/>
      <x:name val="Aptos"/>
    </x:font>
  </x:fonts>
  <x:fills count="7">
    <x:fill>
      <x:patternFill patternType="none"/>
    </x:fill>
    <x:fill>
      <x:patternFill patternType="gray125"/>
    </x:fill>
    <x:fill>
      <x:patternFill patternType="solid">
        <x:fgColor rgb="FF12304A"/>
      </x:patternFill>
    </x:fill>
    <x:fill>
      <x:patternFill patternType="solid">
        <x:fgColor rgb="FFF4F7F9"/>
      </x:patternFill>
    </x:fill>
    <x:fill>
      <x:patternFill patternType="solid">
        <x:fgColor rgb="FFDFF3F6"/>
      </x:patternFill>
    </x:fill>
    <x:fill>
      <x:patternFill patternType="solid">
        <x:fgColor rgb="FF1F6E8C"/>
      </x:patternFill>
    </x:fill>
    <x:fill>
      <x:patternFill patternType="solid">
        <x:fgColor rgb="FFEAF4EE"/>
      </x:patternFill>
    </x:fill>
  </x:fills>
  <x:borders count="14">
    <x:border/>
    <x:border>
      <x:left style="thin">
        <x:color rgb="FFC7D4DE"/>
      </x:left>
      <x:right style="thin">
        <x:color rgb="FFC7D4DE"/>
      </x:right>
      <x:top style="thin">
        <x:color rgb="FFC7D4DE"/>
      </x:top>
      <x:bottom style="thin">
        <x:color rgb="FFC7D4DE"/>
      </x:bottom>
    </x:border>
    <x:border>
      <x:left style="thin">
        <x:color rgb="FF1F6E8C"/>
      </x:left>
      <x:right style="thin">
        <x:color rgb="FF1F6E8C"/>
      </x:right>
      <x:top style="thin">
        <x:color rgb="FF1F6E8C"/>
      </x:top>
      <x:bottom style="thin">
        <x:color rgb="FF1F6E8C"/>
      </x:bottom>
    </x:border>
    <x:border>
      <x:left style="thin">
        <x:color rgb="FFAAB7C4"/>
      </x:left>
      <x:right style="thin">
        <x:color rgb="FFAAB7C4"/>
      </x:right>
      <x:top style="thin">
        <x:color rgb="FFAAB7C4"/>
      </x:top>
      <x:bottom style="thin">
        <x:color rgb="FFAAB7C4"/>
      </x:bottom>
    </x:border>
    <x:border>
      <x:left style="thin">
        <x:color rgb="FFD5DEE5"/>
      </x:left>
      <x:right style="thin">
        <x:color rgb="FFD5DEE5"/>
      </x:right>
      <x:top style="thin">
        <x:color rgb="FFD5DEE5"/>
      </x:top>
      <x:bottom style="thin">
        <x:color rgb="FFD5DEE5"/>
      </x:bottom>
    </x:border>
    <x:border>
      <x:left style="medium">
        <x:color rgb="FF1B7F5A"/>
      </x:left>
      <x:top style="medium">
        <x:color rgb="FF1B7F5A"/>
      </x:top>
    </x:border>
    <x:border>
      <x:top style="medium">
        <x:color rgb="FF1B7F5A"/>
      </x:top>
    </x:border>
    <x:border>
      <x:right style="medium">
        <x:color rgb="FF1B7F5A"/>
      </x:right>
      <x:top style="medium">
        <x:color rgb="FF1B7F5A"/>
      </x:top>
    </x:border>
    <x:border>
      <x:left style="medium">
        <x:color rgb="FF1B7F5A"/>
      </x:left>
    </x:border>
    <x:border>
      <x:right style="medium">
        <x:color rgb="FF1B7F5A"/>
      </x:right>
    </x:border>
    <x:border>
      <x:left style="medium">
        <x:color rgb="FF1B7F5A"/>
      </x:left>
      <x:bottom style="medium">
        <x:color rgb="FF1B7F5A"/>
      </x:bottom>
    </x:border>
    <x:border>
      <x:bottom style="medium">
        <x:color rgb="FF1B7F5A"/>
      </x:bottom>
    </x:border>
    <x:border>
      <x:right style="medium">
        <x:color rgb="FF1B7F5A"/>
      </x:right>
      <x:bottom style="medium">
        <x:color rgb="FF1B7F5A"/>
      </x:bottom>
    </x:border>
    <x:border>
      <x:left style="thin">
        <x:color rgb="FFD7E0E7"/>
      </x:left>
      <x:right style="thin">
        <x:color rgb="FFD7E0E7"/>
      </x:right>
      <x:top style="thin">
        <x:color rgb="FFD7E0E7"/>
      </x:top>
      <x:bottom style="thin">
        <x:color rgb="FFD7E0E7"/>
      </x:bottom>
    </x:border>
  </x:borders>
  <x:cellStyleXfs count="1">
    <x:xf numFmtId="0" fontId="0" fillId="0" borderId="0"/>
  </x:cellStyleXfs>
  <x:cellXfs count="6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200" fontId="5" fillId="0" borderId="1" xfId="0" applyNumberFormat="1" applyFont="1" applyFill="1" applyBorder="1"/>
    <x:xf numFmtId="201" fontId="5" fillId="0" borderId="1" xfId="0" applyNumberFormat="1" applyFont="1" applyFill="1" applyBorder="1"/>
    <x:xf numFmtId="0" fontId="1" fillId="5" borderId="0" xfId="0" applyNumberFormat="1" applyFont="1" applyFill="1" applyBorder="1"/>
    <x:xf numFmtId="0" fontId="6" fillId="5" borderId="0" xfId="0" applyNumberFormat="1" applyFont="1" applyFill="1" applyBorder="1"/>
    <x:xf numFmtId="0" fontId="6" fillId="5" borderId="2" xfId="0" applyNumberFormat="1" applyFont="1" applyFill="1" applyBorder="1"/>
    <x:xf numFmtId="0" fontId="6" fillId="2" borderId="0" xfId="0" applyNumberFormat="1" applyFont="1" applyFill="1" applyBorder="1"/>
    <x:xf numFmtId="0" fontId="6" fillId="2" borderId="3" xfId="0" applyNumberFormat="1" applyFont="1" applyFill="1" applyBorder="1"/>
    <x:xf numFmtId="0" fontId="6" fillId="2" borderId="3" xfId="0" applyNumberFormat="1" applyFont="1" applyFill="1" applyBorder="1" applyAlignment="1">
      <x:alignment wrapText="1"/>
    </x:xf>
    <x:xf numFmtId="200" fontId="1"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0" fontId="6" fillId="2" borderId="4" xfId="0" applyNumberFormat="1" applyFont="1" applyFill="1" applyBorder="1" applyAlignment="1">
      <x:alignment wrapText="1"/>
    </x:xf>
    <x:xf numFmtId="0" fontId="1" fillId="0" borderId="4" xfId="0" applyNumberFormat="1" applyFont="1" applyFill="1" applyBorder="1"/>
    <x:xf numFmtId="200" fontId="1" fillId="0" borderId="4" xfId="0" applyNumberFormat="1" applyFont="1" applyFill="1" applyBorder="1"/>
    <x:xf numFmtId="201" fontId="1" fillId="0" borderId="4" xfId="0" applyNumberFormat="1" applyFont="1" applyFill="1" applyBorder="1"/>
    <x:xf numFmtId="202" fontId="1" fillId="0" borderId="4" xfId="0" applyNumberFormat="1" applyFont="1" applyFill="1" applyBorder="1"/>
    <x:xf numFmtId="0" fontId="1" fillId="6" borderId="0" xfId="0" applyNumberFormat="1" applyFont="1" applyFill="1" applyBorder="1"/>
    <x:xf numFmtId="0" fontId="7" fillId="6" borderId="0" xfId="0" applyNumberFormat="1" applyFont="1" applyFill="1" applyBorder="1"/>
    <x:xf numFmtId="0" fontId="7" fillId="6" borderId="5" xfId="0" applyNumberFormat="1" applyFont="1" applyFill="1" applyBorder="1"/>
    <x:xf numFmtId="0" fontId="7" fillId="6" borderId="6" xfId="0" applyNumberFormat="1" applyFont="1" applyFill="1" applyBorder="1"/>
    <x:xf numFmtId="0" fontId="7" fillId="6" borderId="7" xfId="0" applyNumberFormat="1" applyFont="1" applyFill="1" applyBorder="1"/>
    <x:xf numFmtId="0" fontId="7" fillId="6" borderId="8" xfId="0" applyNumberFormat="1" applyFont="1" applyFill="1" applyBorder="1"/>
    <x:xf numFmtId="0" fontId="7" fillId="6" borderId="9" xfId="0" applyNumberFormat="1" applyFont="1" applyFill="1" applyBorder="1"/>
    <x:xf numFmtId="0" fontId="7" fillId="6" borderId="10" xfId="0" applyNumberFormat="1" applyFont="1" applyFill="1" applyBorder="1"/>
    <x:xf numFmtId="0" fontId="7" fillId="6" borderId="11" xfId="0" applyNumberFormat="1" applyFont="1" applyFill="1" applyBorder="1"/>
    <x:xf numFmtId="0" fontId="7" fillId="6" borderId="12" xfId="0" applyNumberFormat="1" applyFont="1" applyFill="1" applyBorder="1"/>
    <x:xf numFmtId="0" fontId="7" fillId="6" borderId="5" xfId="0" applyNumberFormat="1" applyFont="1" applyFill="1" applyBorder="1" applyAlignment="1">
      <x:alignment wrapText="1"/>
    </x:xf>
    <x:xf numFmtId="0" fontId="7" fillId="6" borderId="6" xfId="0" applyNumberFormat="1" applyFont="1" applyFill="1" applyBorder="1" applyAlignment="1">
      <x:alignment wrapText="1"/>
    </x:xf>
    <x:xf numFmtId="0" fontId="7" fillId="6" borderId="7" xfId="0" applyNumberFormat="1" applyFont="1" applyFill="1" applyBorder="1" applyAlignment="1">
      <x:alignment wrapText="1"/>
    </x:xf>
    <x:xf numFmtId="0" fontId="7" fillId="6" borderId="8"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9" xfId="0" applyNumberFormat="1" applyFont="1" applyFill="1" applyBorder="1" applyAlignment="1">
      <x:alignment wrapText="1"/>
    </x:xf>
    <x:xf numFmtId="0" fontId="7" fillId="6" borderId="10" xfId="0" applyNumberFormat="1" applyFont="1" applyFill="1" applyBorder="1" applyAlignment="1">
      <x:alignment wrapText="1"/>
    </x:xf>
    <x:xf numFmtId="0" fontId="7" fillId="6" borderId="11" xfId="0" applyNumberFormat="1" applyFont="1" applyFill="1" applyBorder="1" applyAlignment="1">
      <x:alignment wrapText="1"/>
    </x:xf>
    <x:xf numFmtId="0" fontId="7" fillId="6" borderId="12" xfId="0" applyNumberFormat="1" applyFont="1" applyFill="1" applyBorder="1" applyAlignment="1">
      <x:alignment wrapText="1"/>
    </x:xf>
    <x:xf numFmtId="0" fontId="7"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7" fillId="6" borderId="7" xfId="0" applyNumberFormat="1" applyFont="1" applyFill="1" applyBorder="1" applyAlignment="1">
      <x:alignment vertical="top" wrapText="1"/>
    </x:xf>
    <x:xf numFmtId="0" fontId="7" fillId="6" borderId="8"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9" xfId="0" applyNumberFormat="1" applyFont="1" applyFill="1" applyBorder="1" applyAlignment="1">
      <x:alignment vertical="top" wrapText="1"/>
    </x:xf>
    <x:xf numFmtId="0" fontId="7" fillId="6" borderId="10" xfId="0" applyNumberFormat="1" applyFont="1" applyFill="1" applyBorder="1" applyAlignment="1">
      <x:alignment vertical="top" wrapText="1"/>
    </x:xf>
    <x:xf numFmtId="0" fontId="7" fillId="6" borderId="11" xfId="0" applyNumberFormat="1" applyFont="1" applyFill="1" applyBorder="1" applyAlignment="1">
      <x:alignment vertical="top" wrapText="1"/>
    </x:xf>
    <x:xf numFmtId="0" fontId="7" fillId="6" borderId="12" xfId="0" applyNumberFormat="1" applyFont="1" applyFill="1" applyBorder="1" applyAlignment="1">
      <x:alignment vertical="top" wrapText="1"/>
    </x:xf>
    <x:xf numFmtId="203" fontId="1" fillId="0" borderId="0" xfId="0" applyNumberFormat="1" applyFont="1" applyFill="1" applyBorder="1"/>
    <x:xf numFmtId="204" fontId="1" fillId="0" borderId="0" xfId="0" applyNumberFormat="1" applyFont="1" applyFill="1" applyBorder="1"/>
    <x:xf numFmtId="0" fontId="6" fillId="2" borderId="13" xfId="0" applyNumberFormat="1" applyFont="1" applyFill="1" applyBorder="1" applyAlignment="1">
      <x:alignment wrapText="1"/>
    </x:xf>
    <x:xf numFmtId="0" fontId="1" fillId="0" borderId="13" xfId="0" applyNumberFormat="1" applyFont="1" applyFill="1" applyBorder="1"/>
    <x:xf numFmtId="203" fontId="1" fillId="0" borderId="13" xfId="0" applyNumberFormat="1" applyFont="1" applyFill="1" applyBorder="1"/>
    <x:xf numFmtId="200" fontId="1" fillId="0" borderId="13" xfId="0" applyNumberFormat="1" applyFont="1" applyFill="1" applyBorder="1"/>
    <x:xf numFmtId="201" fontId="1" fillId="0" borderId="13" xfId="0" applyNumberFormat="1" applyFont="1" applyFill="1" applyBorder="1"/>
    <x:xf numFmtId="204" fontId="1" fillId="0" borderId="13" xfId="0" applyNumberFormat="1" applyFont="1" applyFill="1" applyBorder="1"/>
    <x:xf numFmtId="0" fontId="1" fillId="0" borderId="1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58fbcb1fa0495a" /><Relationship Type="http://schemas.openxmlformats.org/officeDocument/2006/relationships/theme" Target="/xl/theme/theme1.xml" Id="R5a97689cd36349c9" /><Relationship Type="http://schemas.openxmlformats.org/officeDocument/2006/relationships/sharedStrings" Target="/xl/sharedStrings.xml" Id="Rc33abb5df18d417a" /><Relationship Type="http://schemas.openxmlformats.org/officeDocument/2006/relationships/worksheet" Target="/xl/worksheets/sheet1.xml" Id="Rc822df9e445a4f17" /><Relationship Type="http://schemas.openxmlformats.org/officeDocument/2006/relationships/worksheet" Target="/xl/worksheets/sheet2.xml" Id="Ra9593ea10b47492b" /><Relationship Type="http://schemas.openxmlformats.org/officeDocument/2006/relationships/worksheet" Target="/xl/worksheets/sheet3.xml" Id="Rd3a161fcc52b426e" /><Relationship Type="http://schemas.openxmlformats.org/officeDocument/2006/relationships/worksheet" Target="/xl/worksheets/sheet4.xml" Id="R264d52a1d2af4633" /></Relationships>
</file>

<file path=xl/drawings/_rels/drawing1.xml.rels>&#65279;<?xml version="1.0" encoding="utf-8"?><Relationships xmlns="http://schemas.openxmlformats.org/package/2006/relationships"><Relationship Type="http://schemas.openxmlformats.org/officeDocument/2006/relationships/chart" Target="/xl/drawings/charts/chart1.xml" Id="R0c1b3ac5766f4a8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2024 Operating Cost per Passenger Trip</a:t>
            </a:r>
          </a:p>
        </c:rich>
      </c:tx>
      <c:overlay val="0"/>
    </c:title>
    <c:plotArea>
      <c:barChart>
        <c:barDir val="col"/>
        <c:varyColors val="0"/>
        <c:ser>
          <c:idx val="0"/>
          <c:order val="0"/>
          <c:tx>
            <c:v>Cost per trip</c:v>
          </c:tx>
          <c:cat>
            <c:strRef>
              <c:f>'Decision Summary'!$J$3:$J$17</c:f>
              <c:strCache>
                <c:ptCount val="0"/>
              </c:strCache>
            </c:strRef>
          </c:cat>
          <c:val>
            <c:numRef>
              <c:f>'Decision Summary'!$K$3:$K$17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20</xdr:row>
      <xdr:rowOff>0</xdr:rowOff>
    </xdr:from>
    <xdr:to>
      <xdr:col>8</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1b3ac5766f4a8f"/>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3a80a7be1fd4b91"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0" max="10" width="2" hidden="0" customWidth="1"/>
    <x:col min="11" max="11" width="2" hidden="0" customWidth="1"/>
    <x:col min="1" max="1" width="25" hidden="0" customWidth="1"/>
    <x:col min="2" max="2" width="16" hidden="0" customWidth="1"/>
    <x:col min="3" max="3" width="3" hidden="0" customWidth="1"/>
    <x:col min="4" max="4" width="34" hidden="0" customWidth="1"/>
    <x:col min="5" max="5" width="14" hidden="0" customWidth="1"/>
    <x:col min="6" max="6" width="14" hidden="0" customWidth="1"/>
    <x:col min="7" max="7" width="15" hidden="0" customWidth="1"/>
    <x:col min="8" max="8" width="24" hidden="0" customWidth="1"/>
  </x:cols>
  <x:sheetData>
    <x:row r="1" ht="34" customHeight="1">
      <x:c r="A1" s="4" t="str">
        <x:v>Michigan Fixed-Route Bus Cost &amp; Productivity Benchmark</x:v>
      </x:c>
      <x:c r="B1" s="4"/>
      <x:c r="C1" s="4"/>
      <x:c r="D1" s="4"/>
      <x:c r="E1" s="4"/>
      <x:c r="F1" s="4"/>
      <x:c r="G1" s="4"/>
      <x:c r="H1" s="4"/>
      <x:c r="I1" s="1"/>
      <x:c r="J1" s="1"/>
      <x:c r="K1" s="1"/>
      <x:c r="L1" s="1"/>
      <x:c r="M1" s="1"/>
      <x:c r="N1" s="1"/>
      <x:c r="O1" s="1"/>
      <x:c r="P1" s="1"/>
      <x:c r="Q1" s="1"/>
      <x:c r="R1" s="1"/>
      <x:c r="S1" s="1"/>
      <x:c r="T1" s="1"/>
      <x:c r="U1" s="1"/>
      <x:c r="V1" s="1"/>
      <x:c r="W1" s="1"/>
      <x:c r="X1" s="1"/>
      <x:c r="Y1" s="1"/>
      <x:c r="Z1" s="1"/>
    </x:row>
    <x:row r="2" ht="34" customHeight="1">
      <x:c r="A2" s="4"/>
      <x:c r="B2" s="4"/>
      <x:c r="C2" s="4"/>
      <x:c r="D2" s="4"/>
      <x:c r="E2" s="4"/>
      <x:c r="F2" s="4"/>
      <x:c r="G2" s="4"/>
      <x:c r="H2" s="4"/>
      <x:c r="I2" s="1"/>
      <x:c r="J2" s="1" t="str">
        <x:v>Agency</x:v>
      </x:c>
      <x:c r="K2" s="1" t="str">
        <x:v>Cost per trip</x:v>
      </x:c>
      <x:c r="L2" s="1"/>
      <x:c r="M2" s="1"/>
      <x:c r="N2" s="1"/>
      <x:c r="O2" s="1"/>
      <x:c r="P2" s="1"/>
      <x:c r="Q2" s="1"/>
      <x:c r="R2" s="1"/>
      <x:c r="S2" s="1"/>
      <x:c r="T2" s="1"/>
      <x:c r="U2" s="1"/>
      <x:c r="V2" s="1"/>
      <x:c r="W2" s="1"/>
      <x:c r="X2" s="1"/>
      <x:c r="Y2" s="1"/>
      <x:c r="Z2" s="1"/>
    </x:row>
    <x:row r="3">
      <x:c r="A3" s="7" t="str">
        <x:v>Decision question: Which Michigan motor-bus systems show the highest unit cost, and what operating factors should leaders investigate first?</x:v>
      </x:c>
      <x:c r="B3" s="7"/>
      <x:c r="C3" s="7"/>
      <x:c r="D3" s="7"/>
      <x:c r="E3" s="7"/>
      <x:c r="F3" s="7"/>
      <x:c r="G3" s="7"/>
      <x:c r="H3" s="7"/>
      <x:c r="I3" s="1"/>
      <x:c r="J3" s="1" t="str">
        <x:v>University of Michigan Parking and Transportation Services (UMTS) - Logisitics, Transportation &amp; Parking</x:v>
      </x:c>
      <x:c r="K3" s="1" t="n">
        <x:v>2.980545726847554</x:v>
      </x:c>
      <x:c r="L3" s="1"/>
      <x:c r="M3" s="1"/>
      <x:c r="N3" s="1"/>
      <x:c r="O3" s="1"/>
      <x:c r="P3" s="1"/>
      <x:c r="Q3" s="1"/>
      <x:c r="R3" s="1"/>
      <x:c r="S3" s="1"/>
      <x:c r="T3" s="1"/>
      <x:c r="U3" s="1"/>
      <x:c r="V3" s="1"/>
      <x:c r="W3" s="1"/>
      <x:c r="X3" s="1"/>
      <x:c r="Y3" s="1"/>
      <x:c r="Z3" s="1"/>
    </x:row>
    <x:row r="4">
      <x:c r="A4" s="1"/>
      <x:c r="B4" s="1"/>
      <x:c r="C4" s="1"/>
      <x:c r="D4" s="1"/>
      <x:c r="E4" s="1"/>
      <x:c r="F4" s="1"/>
      <x:c r="G4" s="1"/>
      <x:c r="H4" s="1"/>
      <x:c r="I4" s="1"/>
      <x:c r="J4" s="1" t="str">
        <x:v>Capital Area Transportation Authority (CATA)</x:v>
      </x:c>
      <x:c r="K4" s="1" t="n">
        <x:v>4.480154595441905</x:v>
      </x:c>
      <x:c r="L4" s="1"/>
      <x:c r="M4" s="1"/>
      <x:c r="N4" s="1"/>
      <x:c r="O4" s="1"/>
      <x:c r="P4" s="1"/>
      <x:c r="Q4" s="1"/>
      <x:c r="R4" s="1"/>
      <x:c r="S4" s="1"/>
      <x:c r="T4" s="1"/>
      <x:c r="U4" s="1"/>
      <x:c r="V4" s="1"/>
      <x:c r="W4" s="1"/>
      <x:c r="X4" s="1"/>
      <x:c r="Y4" s="1"/>
      <x:c r="Z4" s="1"/>
    </x:row>
    <x:row r="5">
      <x:c r="A5" s="10" t="str">
        <x:v>2024 systems analyzed</x:v>
      </x:c>
      <x:c r="B5" s="12" t="n">
        <x:v>15</x:v>
      </x:c>
      <x:c r="C5" s="1"/>
      <x:c r="D5" s="17" t="str">
        <x:v>What the data says</x:v>
      </x:c>
      <x:c r="E5" s="17"/>
      <x:c r="F5" s="17"/>
      <x:c r="G5" s="17"/>
      <x:c r="H5" s="17"/>
      <x:c r="I5" s="1"/>
      <x:c r="J5" s="1" t="str">
        <x:v>Interurban Transit Partnership (ITP)</x:v>
      </x:c>
      <x:c r="K5" s="1" t="n">
        <x:v>6.481331566966865</x:v>
      </x:c>
      <x:c r="L5" s="1"/>
      <x:c r="M5" s="1"/>
      <x:c r="N5" s="1"/>
      <x:c r="O5" s="1"/>
      <x:c r="P5" s="1"/>
      <x:c r="Q5" s="1"/>
      <x:c r="R5" s="1"/>
      <x:c r="S5" s="1"/>
      <x:c r="T5" s="1"/>
      <x:c r="U5" s="1"/>
      <x:c r="V5" s="1"/>
      <x:c r="W5" s="1"/>
      <x:c r="X5" s="1"/>
      <x:c r="Y5" s="1"/>
      <x:c r="Z5" s="1"/>
    </x:row>
    <x:row r="6">
      <x:c r="A6" s="10" t="str">
        <x:v>Peer median cost / trip</x:v>
      </x:c>
      <x:c r="B6" s="13" t="n">
        <x:f>MEDIAN('Peer Analysis'!L5:L19)</x:f>
        <x:v>8.526353105016002</x:v>
      </x:c>
      <x:c r="C6" s="1"/>
      <x:c r="D6" s="24" t="str">
        <x:v>Agency</x:v>
      </x:c>
      <x:c r="E6" s="24" t="str">
        <x:v>Cost / trip</x:v>
      </x:c>
      <x:c r="F6" s="24" t="str">
        <x:v>Trips / hour</x:v>
      </x:c>
      <x:c r="G6" s="24" t="str">
        <x:v>2019–24 ridership</x:v>
      </x:c>
      <x:c r="H6" s="24" t="str">
        <x:v>First review</x:v>
      </x:c>
      <x:c r="I6" s="1"/>
      <x:c r="J6" s="1" t="str">
        <x:v>Blue Water Area Transportation Commission (BWATC)</x:v>
      </x:c>
      <x:c r="K6" s="1" t="n">
        <x:v>6.58396928935443</x:v>
      </x:c>
      <x:c r="L6" s="1"/>
      <x:c r="M6" s="1"/>
      <x:c r="N6" s="1"/>
      <x:c r="O6" s="1"/>
      <x:c r="P6" s="1"/>
      <x:c r="Q6" s="1"/>
      <x:c r="R6" s="1"/>
      <x:c r="S6" s="1"/>
      <x:c r="T6" s="1"/>
      <x:c r="U6" s="1"/>
      <x:c r="V6" s="1"/>
      <x:c r="W6" s="1"/>
      <x:c r="X6" s="1"/>
      <x:c r="Y6" s="1"/>
      <x:c r="Z6" s="1"/>
    </x:row>
    <x:row r="7">
      <x:c r="A7" s="10" t="str">
        <x:v>AAATA cost / trip</x:v>
      </x:c>
      <x:c r="B7" s="13" t="n">
        <x:f>'Peer Analysis'!L13</x:f>
        <x:v>8.284189069400476</x:v>
      </x:c>
      <x:c r="C7" s="1"/>
      <x:c r="D7" s="25" t="str">
        <x:v>Bay Area Transportation Authority (BATA)</x:v>
      </x:c>
      <x:c r="E7" s="26" t="n">
        <x:v>26.600895051103382</x:v>
      </x:c>
      <x:c r="F7" s="27" t="n">
        <x:v>3.7467643178010706</x:v>
      </x:c>
      <x:c r="G7" s="28" t="n">
        <x:v>0.534094847626696</x:v>
      </x:c>
      <x:c r="H7" s="25" t="str">
        <x:v>Service design / utilization</x:v>
      </x:c>
      <x:c r="I7" s="1"/>
      <x:c r="J7" s="1" t="str">
        <x:v>Mass Transportation Authority (MTA)</x:v>
      </x:c>
      <x:c r="K7" s="1" t="n">
        <x:v>6.957968426348373</x:v>
      </x:c>
      <x:c r="L7" s="1"/>
      <x:c r="M7" s="1"/>
      <x:c r="N7" s="1"/>
      <x:c r="O7" s="1"/>
      <x:c r="P7" s="1"/>
      <x:c r="Q7" s="1"/>
      <x:c r="R7" s="1"/>
      <x:c r="S7" s="1"/>
      <x:c r="T7" s="1"/>
      <x:c r="U7" s="1"/>
      <x:c r="V7" s="1"/>
      <x:c r="W7" s="1"/>
      <x:c r="X7" s="1"/>
      <x:c r="Y7" s="1"/>
      <x:c r="Z7" s="1"/>
    </x:row>
    <x:row r="8">
      <x:c r="A8" s="10" t="str">
        <x:v>AAATA passenger trips / hour</x:v>
      </x:c>
      <x:c r="B8" s="14" t="n">
        <x:f>'Peer Analysis'!M13</x:f>
        <x:v>16.76836817269393</x:v>
      </x:c>
      <x:c r="C8" s="1"/>
      <x:c r="D8" s="25" t="str">
        <x:v>Bay Metropolitan Transit Authority (BMTA)</x:v>
      </x:c>
      <x:c r="E8" s="26" t="n">
        <x:v>20.61079290890974</x:v>
      </x:c>
      <x:c r="F8" s="27" t="n">
        <x:v>8.136187337785424</x:v>
      </x:c>
      <x:c r="G8" s="28" t="n">
        <x:v>0.6306920934606481</x:v>
      </x:c>
      <x:c r="H8" s="25" t="str">
        <x:v>Service design / utilization</x:v>
      </x:c>
      <x:c r="I8" s="1"/>
      <x:c r="J8" s="1" t="str">
        <x:v>Central County Transportation Authority (CCTA)</x:v>
      </x:c>
      <x:c r="K8" s="1" t="n">
        <x:v>7.526801567872433</x:v>
      </x:c>
      <x:c r="L8" s="1"/>
      <x:c r="M8" s="1"/>
      <x:c r="N8" s="1"/>
      <x:c r="O8" s="1"/>
      <x:c r="P8" s="1"/>
      <x:c r="Q8" s="1"/>
      <x:c r="R8" s="1"/>
      <x:c r="S8" s="1"/>
      <x:c r="T8" s="1"/>
      <x:c r="U8" s="1"/>
      <x:c r="V8" s="1"/>
      <x:c r="W8" s="1"/>
      <x:c r="X8" s="1"/>
      <x:c r="Y8" s="1"/>
      <x:c r="Z8" s="1"/>
    </x:row>
    <x:row r="9">
      <x:c r="A9" s="1"/>
      <x:c r="B9" s="1"/>
      <x:c r="C9" s="1"/>
      <x:c r="D9" s="25" t="str">
        <x:v>Macatawa Area Express Transportation Authority (MAX)</x:v>
      </x:c>
      <x:c r="E9" s="26" t="n">
        <x:v>15.912999619820049</x:v>
      </x:c>
      <x:c r="F9" s="27" t="n">
        <x:v>7.2084992874630025</x:v>
      </x:c>
      <x:c r="G9" s="28" t="n">
        <x:v>0.5977740473189179</x:v>
      </x:c>
      <x:c r="H9" s="25" t="str">
        <x:v>Service design / utilization</x:v>
      </x:c>
      <x:c r="I9" s="1"/>
      <x:c r="J9" s="1" t="str">
        <x:v>Ann Arbor Area Transportation Authority (AAATA)</x:v>
      </x:c>
      <x:c r="K9" s="1" t="n">
        <x:v>8.284189069400476</x:v>
      </x:c>
      <x:c r="L9" s="1"/>
      <x:c r="M9" s="1"/>
      <x:c r="N9" s="1"/>
      <x:c r="O9" s="1"/>
      <x:c r="P9" s="1"/>
      <x:c r="Q9" s="1"/>
      <x:c r="R9" s="1"/>
      <x:c r="S9" s="1"/>
      <x:c r="T9" s="1"/>
      <x:c r="U9" s="1"/>
      <x:c r="V9" s="1"/>
      <x:c r="W9" s="1"/>
      <x:c r="X9" s="1"/>
      <x:c r="Y9" s="1"/>
      <x:c r="Z9" s="1"/>
    </x:row>
    <x:row r="10">
      <x:c r="A10" s="1"/>
      <x:c r="B10" s="1"/>
      <x:c r="C10" s="1"/>
      <x:c r="D10" s="25" t="str">
        <x:v>Lake Erie Transportation Commission (LET) - Operations</x:v>
      </x:c>
      <x:c r="E10" s="26" t="n">
        <x:v>15.061839106654512</x:v>
      </x:c>
      <x:c r="F10" s="27" t="n">
        <x:v>7.619378364299357</x:v>
      </x:c>
      <x:c r="G10" s="28" t="n">
        <x:v>0.60016276063928</x:v>
      </x:c>
      <x:c r="H10" s="25" t="str">
        <x:v>Service design / utilization</x:v>
      </x:c>
      <x:c r="I10" s="1"/>
      <x:c r="J10" s="1" t="str">
        <x:v>City of Detroit (DDOT) - Transportation</x:v>
      </x:c>
      <x:c r="K10" s="1" t="n">
        <x:v>8.526353105016002</x:v>
      </x:c>
      <x:c r="L10" s="1"/>
      <x:c r="M10" s="1"/>
      <x:c r="N10" s="1"/>
      <x:c r="O10" s="1"/>
      <x:c r="P10" s="1"/>
      <x:c r="Q10" s="1"/>
      <x:c r="R10" s="1"/>
      <x:c r="S10" s="1"/>
      <x:c r="T10" s="1"/>
      <x:c r="U10" s="1"/>
      <x:c r="V10" s="1"/>
      <x:c r="W10" s="1"/>
      <x:c r="X10" s="1"/>
      <x:c r="Y10" s="1"/>
      <x:c r="Z10" s="1"/>
    </x:row>
    <x:row r="11">
      <x:c r="A11" s="1"/>
      <x:c r="B11" s="1"/>
      <x:c r="C11" s="1"/>
      <x:c r="D11" s="25" t="str">
        <x:v>Suburban Mobility Authority for Regional Transportation (SMART)</x:v>
      </x:c>
      <x:c r="E11" s="26" t="n">
        <x:v>14.86440298751742</x:v>
      </x:c>
      <x:c r="F11" s="27" t="n">
        <x:v>10.051266435307934</x:v>
      </x:c>
      <x:c r="G11" s="28" t="n">
        <x:v>0.6665915352766829</x:v>
      </x:c>
      <x:c r="H11" s="25" t="str">
        <x:v>Cost structure / service mix</x:v>
      </x:c>
      <x:c r="I11" s="1"/>
      <x:c r="J11" s="1" t="str">
        <x:v>City of Jackson Transportation Authority (JATA)</x:v>
      </x:c>
      <x:c r="K11" s="1" t="n">
        <x:v>8.812618552308015</x:v>
      </x:c>
      <x:c r="L11" s="1"/>
      <x:c r="M11" s="1"/>
      <x:c r="N11" s="1"/>
      <x:c r="O11" s="1"/>
      <x:c r="P11" s="1"/>
      <x:c r="Q11" s="1"/>
      <x:c r="R11" s="1"/>
      <x:c r="S11" s="1"/>
      <x:c r="T11" s="1"/>
      <x:c r="U11" s="1"/>
      <x:c r="V11" s="1"/>
      <x:c r="W11" s="1"/>
      <x:c r="X11" s="1"/>
      <x:c r="Y11" s="1"/>
      <x:c r="Z11" s="1"/>
    </x:row>
    <x:row r="12">
      <x:c r="A12" s="1"/>
      <x:c r="B12" s="1"/>
      <x:c r="C12" s="1"/>
      <x:c r="D12" s="1"/>
      <x:c r="E12" s="1"/>
      <x:c r="F12" s="1"/>
      <x:c r="G12" s="1"/>
      <x:c r="H12" s="1"/>
      <x:c r="I12" s="1"/>
      <x:c r="J12" s="1" t="str">
        <x:v>Saginaw Transit Authority Regional Service (STARS)</x:v>
      </x:c>
      <x:c r="K12" s="1" t="n">
        <x:v>13.386035647700352</x:v>
      </x:c>
      <x:c r="L12" s="1"/>
      <x:c r="M12" s="1"/>
      <x:c r="N12" s="1"/>
      <x:c r="O12" s="1"/>
      <x:c r="P12" s="1"/>
      <x:c r="Q12" s="1"/>
      <x:c r="R12" s="1"/>
      <x:c r="S12" s="1"/>
      <x:c r="T12" s="1"/>
      <x:c r="U12" s="1"/>
      <x:c r="V12" s="1"/>
      <x:c r="W12" s="1"/>
      <x:c r="X12" s="1"/>
      <x:c r="Y12" s="1"/>
      <x:c r="Z12" s="1"/>
    </x:row>
    <x:row r="13">
      <x:c r="A13" s="17" t="str">
        <x:v>Recommendation</x:v>
      </x:c>
      <x:c r="B13" s="17"/>
      <x:c r="C13" s="17"/>
      <x:c r="D13" s="17"/>
      <x:c r="E13" s="17"/>
      <x:c r="F13" s="17"/>
      <x:c r="G13" s="17"/>
      <x:c r="H13" s="17"/>
      <x:c r="I13" s="1"/>
      <x:c r="J13" s="1" t="str">
        <x:v>Suburban Mobility Authority for Regional Transportation (SMART)</x:v>
      </x:c>
      <x:c r="K13" s="1" t="n">
        <x:v>14.86440298751742</x:v>
      </x:c>
      <x:c r="L13" s="1"/>
      <x:c r="M13" s="1"/>
      <x:c r="N13" s="1"/>
      <x:c r="O13" s="1"/>
      <x:c r="P13" s="1"/>
      <x:c r="Q13" s="1"/>
      <x:c r="R13" s="1"/>
      <x:c r="S13" s="1"/>
      <x:c r="T13" s="1"/>
      <x:c r="U13" s="1"/>
      <x:c r="V13" s="1"/>
      <x:c r="W13" s="1"/>
      <x:c r="X13" s="1"/>
      <x:c r="Y13" s="1"/>
      <x:c r="Z13" s="1"/>
    </x:row>
    <x:row r="14">
      <x:c r="A14" s="48" t="str">
        <x:v>Use cost per passenger trip as a screening metric, then separate demand from cost. Systems with low trips per revenue hour should test frequency, span, route productivity and demand concentration. Systems with stronger productivity but high cost per mile should review labor, maintenance, deadhead and service mix. For AAATA, the 2024 cost per trip is near the Michigan peer median while trips per hour are above the median; the next review should focus on ridership recovery and controllable cost categories rather than a blanket service cut.</x:v>
      </x:c>
      <x:c r="B14" s="49"/>
      <x:c r="C14" s="49"/>
      <x:c r="D14" s="49"/>
      <x:c r="E14" s="49"/>
      <x:c r="F14" s="49"/>
      <x:c r="G14" s="49"/>
      <x:c r="H14" s="50"/>
      <x:c r="I14" s="1"/>
      <x:c r="J14" s="1" t="str">
        <x:v>Lake Erie Transportation Commission (LET) - Operations</x:v>
      </x:c>
      <x:c r="K14" s="1" t="n">
        <x:v>15.061839106654512</x:v>
      </x:c>
      <x:c r="L14" s="1"/>
      <x:c r="M14" s="1"/>
      <x:c r="N14" s="1"/>
      <x:c r="O14" s="1"/>
      <x:c r="P14" s="1"/>
      <x:c r="Q14" s="1"/>
      <x:c r="R14" s="1"/>
      <x:c r="S14" s="1"/>
      <x:c r="T14" s="1"/>
      <x:c r="U14" s="1"/>
      <x:c r="V14" s="1"/>
      <x:c r="W14" s="1"/>
      <x:c r="X14" s="1"/>
      <x:c r="Y14" s="1"/>
      <x:c r="Z14" s="1"/>
    </x:row>
    <x:row r="15">
      <x:c r="A15" s="51"/>
      <x:c r="B15" s="52"/>
      <x:c r="C15" s="52"/>
      <x:c r="D15" s="52"/>
      <x:c r="E15" s="52"/>
      <x:c r="F15" s="52"/>
      <x:c r="G15" s="52"/>
      <x:c r="H15" s="53"/>
      <x:c r="I15" s="1"/>
      <x:c r="J15" s="1" t="str">
        <x:v>Macatawa Area Express Transportation Authority (MAX)</x:v>
      </x:c>
      <x:c r="K15" s="1" t="n">
        <x:v>15.912999619820049</x:v>
      </x:c>
      <x:c r="L15" s="1"/>
      <x:c r="M15" s="1"/>
      <x:c r="N15" s="1"/>
      <x:c r="O15" s="1"/>
      <x:c r="P15" s="1"/>
      <x:c r="Q15" s="1"/>
      <x:c r="R15" s="1"/>
      <x:c r="S15" s="1"/>
      <x:c r="T15" s="1"/>
      <x:c r="U15" s="1"/>
      <x:c r="V15" s="1"/>
      <x:c r="W15" s="1"/>
      <x:c r="X15" s="1"/>
      <x:c r="Y15" s="1"/>
      <x:c r="Z15" s="1"/>
    </x:row>
    <x:row r="16">
      <x:c r="A16" s="51"/>
      <x:c r="B16" s="52"/>
      <x:c r="C16" s="52"/>
      <x:c r="D16" s="52"/>
      <x:c r="E16" s="52"/>
      <x:c r="F16" s="52"/>
      <x:c r="G16" s="52"/>
      <x:c r="H16" s="53"/>
      <x:c r="I16" s="1"/>
      <x:c r="J16" s="1" t="str">
        <x:v>Bay Metropolitan Transit Authority (BMTA)</x:v>
      </x:c>
      <x:c r="K16" s="1" t="n">
        <x:v>20.61079290890974</x:v>
      </x:c>
      <x:c r="L16" s="1"/>
      <x:c r="M16" s="1"/>
      <x:c r="N16" s="1"/>
      <x:c r="O16" s="1"/>
      <x:c r="P16" s="1"/>
      <x:c r="Q16" s="1"/>
      <x:c r="R16" s="1"/>
      <x:c r="S16" s="1"/>
      <x:c r="T16" s="1"/>
      <x:c r="U16" s="1"/>
      <x:c r="V16" s="1"/>
      <x:c r="W16" s="1"/>
      <x:c r="X16" s="1"/>
      <x:c r="Y16" s="1"/>
      <x:c r="Z16" s="1"/>
    </x:row>
    <x:row r="17">
      <x:c r="A17" s="54"/>
      <x:c r="B17" s="55"/>
      <x:c r="C17" s="55"/>
      <x:c r="D17" s="55"/>
      <x:c r="E17" s="55"/>
      <x:c r="F17" s="55"/>
      <x:c r="G17" s="55"/>
      <x:c r="H17" s="56"/>
      <x:c r="I17" s="1"/>
      <x:c r="J17" s="1" t="str">
        <x:v>Bay Area Transportation Authority (BATA)</x:v>
      </x:c>
      <x:c r="K17" s="1" t="n">
        <x:v>26.600895051103382</x:v>
      </x:c>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7" t="str">
        <x:v>Limits: Agency-level NTD data cannot identify a specific route that loses money. Route-level APC, fare, schedule and cost-allocation data would be required before changing service. 2024 is the latest complete annual NTD release.</x:v>
      </x:c>
      <x:c r="B19" s="7"/>
      <x:c r="C19" s="7"/>
      <x:c r="D19" s="7"/>
      <x:c r="E19" s="7"/>
      <x:c r="F19" s="7"/>
      <x:c r="G19" s="7"/>
      <x:c r="H19" s="7"/>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1:H2"/>
    <x:mergeCell ref="A3:H3"/>
    <x:mergeCell ref="D5:H5"/>
    <x:mergeCell ref="A13:H13"/>
    <x:mergeCell ref="A14:H17"/>
    <x:mergeCell ref="A19:H19"/>
  </x:mergeCells>
  <x:pageMargins left="0.7" right="0.7" top="0.75" bottom="0.75" header="0.3" footer="0.3"/>
  <x:drawing xmlns:r="http://schemas.openxmlformats.org/officeDocument/2006/relationships" r:id="R33a80a7be1fd4b91"/>
</x:worksheet>
</file>

<file path=xl/worksheets/sheet2.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11" hidden="0" customWidth="1"/>
    <x:col min="2" max="2" width="38" hidden="0" customWidth="1"/>
    <x:col min="3" max="3" width="16"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2" hidden="0" customWidth="1"/>
    <x:col min="12" max="12" width="14" hidden="0" customWidth="1"/>
    <x:col min="13" max="13" width="14" hidden="0" customWidth="1"/>
    <x:col min="14" max="14" width="14" hidden="0" customWidth="1"/>
    <x:col min="15" max="15" width="14" hidden="0" customWidth="1"/>
    <x:col min="16" max="16" width="12" hidden="0" customWidth="1"/>
    <x:col min="17" max="17" width="17" hidden="0" customWidth="1"/>
    <x:col min="18" max="18" width="18" hidden="0" customWidth="1"/>
  </x:cols>
  <x:sheetData>
    <x:row r="1" ht="34" customHeight="1">
      <x:c r="A1" s="4" t="str">
        <x:v>Peer Analysis</x:v>
      </x:c>
      <x:c r="B1" s="4"/>
      <x:c r="C1" s="4"/>
      <x:c r="D1" s="4"/>
      <x:c r="E1" s="4"/>
      <x:c r="F1" s="4"/>
      <x:c r="G1" s="4"/>
      <x:c r="H1" s="4"/>
      <x:c r="I1" s="4"/>
      <x:c r="J1" s="4"/>
      <x:c r="K1" s="4"/>
      <x:c r="L1" s="4"/>
      <x:c r="M1" s="4"/>
      <x:c r="N1" s="4"/>
      <x:c r="O1" s="4"/>
      <x:c r="P1" s="4"/>
      <x:c r="Q1" s="4"/>
      <x:c r="R1" s="4"/>
      <x:c r="S1" s="1"/>
      <x:c r="T1" s="1"/>
      <x:c r="U1" s="1"/>
      <x:c r="V1" s="1"/>
      <x:c r="W1" s="1"/>
      <x:c r="X1" s="1"/>
      <x:c r="Y1" s="1"/>
      <x:c r="Z1" s="1"/>
    </x:row>
    <x:row r="2" ht="34" customHeight="1">
      <x:c r="A2" s="4"/>
      <x:c r="B2" s="4"/>
      <x:c r="C2" s="4"/>
      <x:c r="D2" s="4"/>
      <x:c r="E2" s="4"/>
      <x:c r="F2" s="4"/>
      <x:c r="G2" s="4"/>
      <x:c r="H2" s="4"/>
      <x:c r="I2" s="4"/>
      <x:c r="J2" s="4"/>
      <x:c r="K2" s="4"/>
      <x:c r="L2" s="4"/>
      <x:c r="M2" s="4"/>
      <x:c r="N2" s="4"/>
      <x:c r="O2" s="4"/>
      <x:c r="P2" s="4"/>
      <x:c r="Q2" s="4"/>
      <x:c r="R2" s="4"/>
      <x:c r="S2" s="1"/>
      <x:c r="T2" s="1"/>
      <x:c r="U2" s="1"/>
      <x:c r="V2" s="1"/>
      <x:c r="W2" s="1"/>
      <x:c r="X2" s="1"/>
      <x:c r="Y2" s="1"/>
      <x:c r="Z2" s="1"/>
    </x:row>
    <x:row r="3">
      <x:c r="A3" s="7" t="str">
        <x:v>Michigan active Full Reporters; Motor Bus (MB); Directly Operated (DO) | Dollars are nominal as reported by NTD.</x:v>
      </x:c>
      <x:c r="B3" s="7"/>
      <x:c r="C3" s="7"/>
      <x:c r="D3" s="7"/>
      <x:c r="E3" s="7"/>
      <x:c r="F3" s="7"/>
      <x:c r="G3" s="7"/>
      <x:c r="H3" s="7"/>
      <x:c r="I3" s="7"/>
      <x:c r="J3" s="7"/>
      <x:c r="K3" s="7"/>
      <x:c r="L3" s="7"/>
      <x:c r="M3" s="7"/>
      <x:c r="N3" s="7"/>
      <x:c r="O3" s="7"/>
      <x:c r="P3" s="7"/>
      <x:c r="Q3" s="7"/>
      <x:c r="R3" s="7"/>
      <x:c r="S3" s="1"/>
      <x:c r="T3" s="1"/>
      <x:c r="U3" s="1"/>
      <x:c r="V3" s="1"/>
      <x:c r="W3" s="1"/>
      <x:c r="X3" s="1"/>
      <x:c r="Y3" s="1"/>
      <x:c r="Z3" s="1"/>
    </x:row>
    <x:row r="4">
      <x:c r="A4" s="59" t="str">
        <x:v>NTD ID</x:v>
      </x:c>
      <x:c r="B4" s="59" t="str">
        <x:v>Agency</x:v>
      </x:c>
      <x:c r="C4" s="59" t="str">
        <x:v>City</x:v>
      </x:c>
      <x:c r="D4" s="59" t="str">
        <x:v>2019 Opex</x:v>
      </x:c>
      <x:c r="E4" s="59" t="str">
        <x:v>2019 Trips</x:v>
      </x:c>
      <x:c r="F4" s="59" t="str">
        <x:v>2024 Opex</x:v>
      </x:c>
      <x:c r="G4" s="59" t="str">
        <x:v>2024 Fares</x:v>
      </x:c>
      <x:c r="H4" s="59" t="str">
        <x:v>2024 VRM</x:v>
      </x:c>
      <x:c r="I4" s="59" t="str">
        <x:v>2024 VRH</x:v>
      </x:c>
      <x:c r="J4" s="59" t="str">
        <x:v>2024 Trips</x:v>
      </x:c>
      <x:c r="K4" s="59" t="str">
        <x:v>2024 VOMS</x:v>
      </x:c>
      <x:c r="L4" s="59" t="str">
        <x:v>Cost / Trip</x:v>
      </x:c>
      <x:c r="M4" s="59" t="str">
        <x:v>Trips / Hour</x:v>
      </x:c>
      <x:c r="N4" s="59" t="str">
        <x:v>Cost / Mile</x:v>
      </x:c>
      <x:c r="O4" s="59" t="str">
        <x:v>Fare Recovery</x:v>
      </x:c>
      <x:c r="P4" s="59" t="str">
        <x:v>GA Share</x:v>
      </x:c>
      <x:c r="Q4" s="59" t="str">
        <x:v>2019–24 Trip Recovery</x:v>
      </x:c>
      <x:c r="R4" s="59" t="str">
        <x:v>Cost vs Peer Median</x:v>
      </x:c>
      <x:c r="S4" s="1"/>
      <x:c r="T4" s="1"/>
      <x:c r="U4" s="1"/>
      <x:c r="V4" s="1"/>
      <x:c r="W4" s="1"/>
      <x:c r="X4" s="1"/>
      <x:c r="Y4" s="1"/>
      <x:c r="Z4" s="1"/>
    </x:row>
    <x:row r="5">
      <x:c r="A5" s="60" t="str">
        <x:v>50029</x:v>
      </x:c>
      <x:c r="B5" s="60" t="str">
        <x:v>Bay Metropolitan Transit Authority (BMTA)</x:v>
      </x:c>
      <x:c r="C5" s="60" t="str">
        <x:v>Bay City</x:v>
      </x:c>
      <x:c r="D5" s="61" t="n">
        <x:v>5071432</x:v>
      </x:c>
      <x:c r="E5" s="61" t="n">
        <x:v>442368</x:v>
      </x:c>
      <x:c r="F5" s="61" t="n">
        <x:v>5750370</x:v>
      </x:c>
      <x:c r="G5" s="61" t="n">
        <x:v>136735</x:v>
      </x:c>
      <x:c r="H5" s="61" t="n">
        <x:v>734992</x:v>
      </x:c>
      <x:c r="I5" s="61" t="n">
        <x:v>34291</x:v>
      </x:c>
      <x:c r="J5" s="61" t="n">
        <x:v>278998</x:v>
      </x:c>
      <x:c r="K5" s="61" t="n">
        <x:v>34</x:v>
      </x:c>
      <x:c r="L5" s="62" t="n">
        <x:f>F5/J5</x:f>
        <x:v>20.61079290890974</x:v>
      </x:c>
      <x:c r="M5" s="63" t="n">
        <x:f>J5/I5</x:f>
        <x:v>8.136187337785424</x:v>
      </x:c>
      <x:c r="N5" s="63" t="n">
        <x:f>F5/H5</x:f>
        <x:v>7.823717809173433</x:v>
      </x:c>
      <x:c r="O5" s="64" t="n">
        <x:f>G5/F5</x:f>
        <x:v>0.0237784699071538</x:v>
      </x:c>
      <x:c r="P5" s="64" t="n">
        <x:f>'NTD Source'!R5/F5</x:f>
        <x:v>0.011907407697243829</x:v>
      </x:c>
      <x:c r="Q5" s="64" t="n">
        <x:f>J5/E5</x:f>
        <x:v>0.6306920934606481</x:v>
      </x:c>
      <x:c r="R5" s="62" t="n">
        <x:f>L5-MEDIAN($L$5:$L$19)</x:f>
        <x:v>12.084439803893739</x:v>
      </x:c>
      <x:c r="S5" s="1"/>
      <x:c r="T5" s="1"/>
      <x:c r="U5" s="1"/>
      <x:c r="V5" s="1"/>
      <x:c r="W5" s="1"/>
      <x:c r="X5" s="1"/>
      <x:c r="Y5" s="1"/>
      <x:c r="Z5" s="1"/>
    </x:row>
    <x:row r="6">
      <x:c r="A6" s="60" t="str">
        <x:v>50031</x:v>
      </x:c>
      <x:c r="B6" s="60" t="str">
        <x:v>Suburban Mobility Authority for Regional Transportation (SMART)</x:v>
      </x:c>
      <x:c r="C6" s="60" t="str">
        <x:v>Detroit</x:v>
      </x:c>
      <x:c r="D6" s="61" t="n">
        <x:v>87783424</x:v>
      </x:c>
      <x:c r="E6" s="61" t="n">
        <x:v>8616017</x:v>
      </x:c>
      <x:c r="F6" s="61" t="n">
        <x:v>85371677</x:v>
      </x:c>
      <x:c r="G6" s="61" t="n">
        <x:v>5242534</x:v>
      </x:c>
      <x:c r="H6" s="61" t="n">
        <x:v>9667863</x:v>
      </x:c>
      <x:c r="I6" s="61" t="n">
        <x:v>571407</x:v>
      </x:c>
      <x:c r="J6" s="61" t="n">
        <x:v>5743364</x:v>
      </x:c>
      <x:c r="K6" s="61" t="n">
        <x:v>165</x:v>
      </x:c>
      <x:c r="L6" s="62" t="n">
        <x:f>F6/J6</x:f>
        <x:v>14.86440298751742</x:v>
      </x:c>
      <x:c r="M6" s="63" t="n">
        <x:f>J6/I6</x:f>
        <x:v>10.051266435307934</x:v>
      </x:c>
      <x:c r="N6" s="63" t="n">
        <x:f>F6/H6</x:f>
        <x:v>8.830459947560284</x:v>
      </x:c>
      <x:c r="O6" s="64" t="n">
        <x:f>G6/F6</x:f>
        <x:v>0.06140835209316551</x:v>
      </x:c>
      <x:c r="P6" s="64" t="n">
        <x:f>'NTD Source'!R6/F6</x:f>
        <x:v>0.0008020458588391089</x:v>
      </x:c>
      <x:c r="Q6" s="64" t="n">
        <x:f>J6/E6</x:f>
        <x:v>0.6665915352766829</x:v>
      </x:c>
      <x:c r="R6" s="62" t="n">
        <x:f>L6-MEDIAN($L$5:$L$19)</x:f>
        <x:v>6.338049882501419</x:v>
      </x:c>
      <x:c r="S6" s="1"/>
      <x:c r="T6" s="1"/>
      <x:c r="U6" s="1"/>
      <x:c r="V6" s="1"/>
      <x:c r="W6" s="1"/>
      <x:c r="X6" s="1"/>
      <x:c r="Y6" s="1"/>
      <x:c r="Z6" s="1"/>
    </x:row>
    <x:row r="7">
      <x:c r="A7" s="60" t="str">
        <x:v>50032</x:v>
      </x:c>
      <x:c r="B7" s="60" t="str">
        <x:v>Mass Transportation Authority (MTA)</x:v>
      </x:c>
      <x:c r="C7" s="60" t="str">
        <x:v>Flint</x:v>
      </x:c>
      <x:c r="D7" s="61" t="n">
        <x:v>19285672</x:v>
      </x:c>
      <x:c r="E7" s="61" t="n">
        <x:v>4201682</x:v>
      </x:c>
      <x:c r="F7" s="61" t="n">
        <x:v>18518793</x:v>
      </x:c>
      <x:c r="G7" s="61" t="n">
        <x:v>3629093</x:v>
      </x:c>
      <x:c r="H7" s="61" t="n">
        <x:v>2261889</x:v>
      </x:c>
      <x:c r="I7" s="61" t="n">
        <x:v>146789</x:v>
      </x:c>
      <x:c r="J7" s="61" t="n">
        <x:v>2661523</x:v>
      </x:c>
      <x:c r="K7" s="61" t="n">
        <x:v>82</x:v>
      </x:c>
      <x:c r="L7" s="62" t="n">
        <x:f>F7/J7</x:f>
        <x:v>6.957968426348373</x:v>
      </x:c>
      <x:c r="M7" s="63" t="n">
        <x:f>J7/I7</x:f>
        <x:v>18.13162430427348</x:v>
      </x:c>
      <x:c r="N7" s="63" t="n">
        <x:f>F7/H7</x:f>
        <x:v>8.187312905275192</x:v>
      </x:c>
      <x:c r="O7" s="64" t="n">
        <x:f>G7/F7</x:f>
        <x:v>0.1959681173605645</x:v>
      </x:c>
      <x:c r="P7" s="64" t="n">
        <x:f>'NTD Source'!R7/F7</x:f>
        <x:v>0.20394903706737258</x:v>
      </x:c>
      <x:c r="Q7" s="64" t="n">
        <x:f>J7/E7</x:f>
        <x:v>0.6334422738322415</x:v>
      </x:c>
      <x:c r="R7" s="62" t="n">
        <x:f>L7-MEDIAN($L$5:$L$19)</x:f>
        <x:v>-1.5683846786676288</x:v>
      </x:c>
      <x:c r="S7" s="1"/>
      <x:c r="T7" s="1"/>
      <x:c r="U7" s="1"/>
      <x:c r="V7" s="1"/>
      <x:c r="W7" s="1"/>
      <x:c r="X7" s="1"/>
      <x:c r="Y7" s="1"/>
      <x:c r="Z7" s="1"/>
    </x:row>
    <x:row r="8">
      <x:c r="A8" s="60" t="str">
        <x:v>50033</x:v>
      </x:c>
      <x:c r="B8" s="60" t="str">
        <x:v>Interurban Transit Partnership (ITP)</x:v>
      </x:c>
      <x:c r="C8" s="60" t="str">
        <x:v>Grand Rapids</x:v>
      </x:c>
      <x:c r="D8" s="61" t="n">
        <x:v>36609821</x:v>
      </x:c>
      <x:c r="E8" s="61" t="n">
        <x:v>9242401</x:v>
      </x:c>
      <x:c r="F8" s="61" t="n">
        <x:v>37368169</x:v>
      </x:c>
      <x:c r="G8" s="61" t="n">
        <x:v>7233882</x:v>
      </x:c>
      <x:c r="H8" s="61" t="n">
        <x:v>4618913</x:v>
      </x:c>
      <x:c r="I8" s="61" t="n">
        <x:v>344997</x:v>
      </x:c>
      <x:c r="J8" s="61" t="n">
        <x:v>5765508</x:v>
      </x:c>
      <x:c r="K8" s="61" t="n">
        <x:v>104</x:v>
      </x:c>
      <x:c r="L8" s="62" t="n">
        <x:f>F8/J8</x:f>
        <x:v>6.481331566966865</x:v>
      </x:c>
      <x:c r="M8" s="63" t="n">
        <x:f>J8/I8</x:f>
        <x:v>16.711762710980096</x:v>
      </x:c>
      <x:c r="N8" s="63" t="n">
        <x:f>F8/H8</x:f>
        <x:v>8.090251754038233</x:v>
      </x:c>
      <x:c r="O8" s="64" t="n">
        <x:f>G8/F8</x:f>
        <x:v>0.19358406348461976</x:v>
      </x:c>
      <x:c r="P8" s="64" t="n">
        <x:f>'NTD Source'!R8/F8</x:f>
        <x:v>0.10107238596571322</x:v>
      </x:c>
      <x:c r="Q8" s="64" t="n">
        <x:f>J8/E8</x:f>
        <x:v>0.6238106310254229</x:v>
      </x:c>
      <x:c r="R8" s="62" t="n">
        <x:f>L8-MEDIAN($L$5:$L$19)</x:f>
        <x:v>-2.045021538049136</x:v>
      </x:c>
      <x:c r="S8" s="1"/>
      <x:c r="T8" s="1"/>
      <x:c r="U8" s="1"/>
      <x:c r="V8" s="1"/>
      <x:c r="W8" s="1"/>
      <x:c r="X8" s="1"/>
      <x:c r="Y8" s="1"/>
      <x:c r="Z8" s="1"/>
    </x:row>
    <x:row r="9">
      <x:c r="A9" s="60" t="str">
        <x:v>50034</x:v>
      </x:c>
      <x:c r="B9" s="60" t="str">
        <x:v>City of Jackson Transportation Authority (JATA)</x:v>
      </x:c>
      <x:c r="C9" s="60" t="str">
        <x:v>Jackson</x:v>
      </x:c>
      <x:c r="D9" s="61" t="n">
        <x:v>2721005</x:v>
      </x:c>
      <x:c r="E9" s="61" t="n">
        <x:v>486001</x:v>
      </x:c>
      <x:c r="F9" s="61" t="n">
        <x:v>2978057</x:v>
      </x:c>
      <x:c r="G9" s="61" t="n">
        <x:v>370132</x:v>
      </x:c>
      <x:c r="H9" s="61" t="n">
        <x:v>331242</x:v>
      </x:c>
      <x:c r="I9" s="61" t="n">
        <x:v>23453</x:v>
      </x:c>
      <x:c r="J9" s="61" t="n">
        <x:v>337931</x:v>
      </x:c>
      <x:c r="K9" s="61" t="n">
        <x:v>9</x:v>
      </x:c>
      <x:c r="L9" s="62" t="n">
        <x:f>F9/J9</x:f>
        <x:v>8.812618552308015</x:v>
      </x:c>
      <x:c r="M9" s="63" t="n">
        <x:f>J9/I9</x:f>
        <x:v>14.408860273738968</x:v>
      </x:c>
      <x:c r="N9" s="63" t="n">
        <x:f>F9/H9</x:f>
        <x:v>8.990577885654597</x:v>
      </x:c>
      <x:c r="O9" s="64" t="n">
        <x:f>G9/F9</x:f>
        <x:v>0.12428640553219768</x:v>
      </x:c>
      <x:c r="P9" s="64" t="n">
        <x:f>'NTD Source'!R9/F9</x:f>
        <x:v>0.10038894487244536</x:v>
      </x:c>
      <x:c r="Q9" s="64" t="n">
        <x:f>J9/E9</x:f>
        <x:v>0.6953298450003189</x:v>
      </x:c>
      <x:c r="R9" s="62" t="n">
        <x:f>L9-MEDIAN($L$5:$L$19)</x:f>
        <x:v>0.2862654472920134</x:v>
      </x:c>
      <x:c r="S9" s="1"/>
      <x:c r="T9" s="1"/>
      <x:c r="U9" s="1"/>
      <x:c r="V9" s="1"/>
      <x:c r="W9" s="1"/>
      <x:c r="X9" s="1"/>
      <x:c r="Y9" s="1"/>
      <x:c r="Z9" s="1"/>
    </x:row>
    <x:row r="10">
      <x:c r="A10" s="60" t="str">
        <x:v>50035</x:v>
      </x:c>
      <x:c r="B10" s="60" t="str">
        <x:v>Central County Transportation Authority (CCTA)</x:v>
      </x:c>
      <x:c r="C10" s="60" t="str">
        <x:v>Kalamazoo</x:v>
      </x:c>
      <x:c r="D10" s="61" t="n">
        <x:v>11231612</x:v>
      </x:c>
      <x:c r="E10" s="61" t="n">
        <x:v>2599958</x:v>
      </x:c>
      <x:c r="F10" s="61" t="n">
        <x:v>13073121</x:v>
      </x:c>
      <x:c r="G10" s="61" t="n">
        <x:v>2640835</x:v>
      </x:c>
      <x:c r="H10" s="61" t="n">
        <x:v>1471054</x:v>
      </x:c>
      <x:c r="I10" s="61" t="n">
        <x:v>109211</x:v>
      </x:c>
      <x:c r="J10" s="61" t="n">
        <x:v>1736876</x:v>
      </x:c>
      <x:c r="K10" s="61" t="n">
        <x:v>28</x:v>
      </x:c>
      <x:c r="L10" s="62" t="n">
        <x:f>F10/J10</x:f>
        <x:v>7.526801567872433</x:v>
      </x:c>
      <x:c r="M10" s="63" t="n">
        <x:f>J10/I10</x:f>
        <x:v>15.903855838697567</x:v>
      </x:c>
      <x:c r="N10" s="63" t="n">
        <x:f>F10/H10</x:f>
        <x:v>8.88690761861903</x:v>
      </x:c>
      <x:c r="O10" s="64" t="n">
        <x:f>G10/F10</x:f>
        <x:v>0.2020049382240094</x:v>
      </x:c>
      <x:c r="P10" s="64" t="n">
        <x:f>'NTD Source'!R10/F10</x:f>
        <x:v>0.022868601919924094</x:v>
      </x:c>
      <x:c r="Q10" s="64" t="n">
        <x:f>J10/E10</x:f>
        <x:v>0.6680400221849737</x:v>
      </x:c>
      <x:c r="R10" s="62" t="n">
        <x:f>L10-MEDIAN($L$5:$L$19)</x:f>
        <x:v>-0.9995515371435681</x:v>
      </x:c>
      <x:c r="S10" s="1"/>
      <x:c r="T10" s="1"/>
      <x:c r="U10" s="1"/>
      <x:c r="V10" s="1"/>
      <x:c r="W10" s="1"/>
      <x:c r="X10" s="1"/>
      <x:c r="Y10" s="1"/>
      <x:c r="Z10" s="1"/>
    </x:row>
    <x:row r="11">
      <x:c r="A11" s="60" t="str">
        <x:v>50036</x:v>
      </x:c>
      <x:c r="B11" s="60" t="str">
        <x:v>Capital Area Transportation Authority (CATA)</x:v>
      </x:c>
      <x:c r="C11" s="60" t="str">
        <x:v>Lansing</x:v>
      </x:c>
      <x:c r="D11" s="61" t="n">
        <x:v>35672455</x:v>
      </x:c>
      <x:c r="E11" s="61" t="n">
        <x:v>10555526</x:v>
      </x:c>
      <x:c r="F11" s="61" t="n">
        <x:v>37967097</x:v>
      </x:c>
      <x:c r="G11" s="61" t="n">
        <x:v>6747392</x:v>
      </x:c>
      <x:c r="H11" s="61" t="n">
        <x:v>3471035</x:v>
      </x:c>
      <x:c r="I11" s="61" t="n">
        <x:v>286931</x:v>
      </x:c>
      <x:c r="J11" s="61" t="n">
        <x:v>8474506</x:v>
      </x:c>
      <x:c r="K11" s="61" t="n">
        <x:v>89</x:v>
      </x:c>
      <x:c r="L11" s="62" t="n">
        <x:f>F11/J11</x:f>
        <x:v>4.480154595441905</x:v>
      </x:c>
      <x:c r="M11" s="63" t="n">
        <x:f>J11/I11</x:f>
        <x:v>29.53499621860308</x:v>
      </x:c>
      <x:c r="N11" s="63" t="n">
        <x:f>F11/H11</x:f>
        <x:v>10.93826394720883</x:v>
      </x:c>
      <x:c r="O11" s="64" t="n">
        <x:f>G11/F11</x:f>
        <x:v>0.17771682675659928</x:v>
      </x:c>
      <x:c r="P11" s="64" t="n">
        <x:f>'NTD Source'!R11/F11</x:f>
        <x:v>0.01595239161951202</x:v>
      </x:c>
      <x:c r="Q11" s="64" t="n">
        <x:f>J11/E11</x:f>
        <x:v>0.8028501848226227</x:v>
      </x:c>
      <x:c r="R11" s="62" t="n">
        <x:f>L11-MEDIAN($L$5:$L$19)</x:f>
        <x:v>-4.046198509574096</x:v>
      </x:c>
      <x:c r="S11" s="1"/>
      <x:c r="T11" s="1"/>
      <x:c r="U11" s="1"/>
      <x:c r="V11" s="1"/>
      <x:c r="W11" s="1"/>
      <x:c r="X11" s="1"/>
      <x:c r="Y11" s="1"/>
      <x:c r="Z11" s="1"/>
    </x:row>
    <x:row r="12">
      <x:c r="A12" s="60" t="str">
        <x:v>50039</x:v>
      </x:c>
      <x:c r="B12" s="60" t="str">
        <x:v>Saginaw Transit Authority Regional Service (STARS)</x:v>
      </x:c>
      <x:c r="C12" s="60" t="str">
        <x:v>Saginaw</x:v>
      </x:c>
      <x:c r="D12" s="61" t="n">
        <x:v>6055643</x:v>
      </x:c>
      <x:c r="E12" s="61" t="n">
        <x:v>559991</x:v>
      </x:c>
      <x:c r="F12" s="61" t="n">
        <x:v>7639357</x:v>
      </x:c>
      <x:c r="G12" s="61" t="n">
        <x:v>752191</x:v>
      </x:c>
      <x:c r="H12" s="61" t="n">
        <x:v>890574</x:v>
      </x:c>
      <x:c r="I12" s="61" t="n">
        <x:v>80778</x:v>
      </x:c>
      <x:c r="J12" s="61" t="n">
        <x:v>570696</x:v>
      </x:c>
      <x:c r="K12" s="61" t="n">
        <x:v>21</x:v>
      </x:c>
      <x:c r="L12" s="62" t="n">
        <x:f>F12/J12</x:f>
        <x:v>13.386035647700352</x:v>
      </x:c>
      <x:c r="M12" s="63" t="n">
        <x:f>J12/I12</x:f>
        <x:v>7.064992943623264</x:v>
      </x:c>
      <x:c r="N12" s="63" t="n">
        <x:f>F12/H12</x:f>
        <x:v>8.578014853341777</x:v>
      </x:c>
      <x:c r="O12" s="64" t="n">
        <x:f>G12/F12</x:f>
        <x:v>0.09846260621149136</x:v>
      </x:c>
      <x:c r="P12" s="64" t="n">
        <x:f>'NTD Source'!R12/F12</x:f>
        <x:v>0.07928232703354483</x:v>
      </x:c>
      <x:c r="Q12" s="64" t="n">
        <x:f>J12/E12</x:f>
        <x:v>1.0191163786560855</x:v>
      </x:c>
      <x:c r="R12" s="62" t="n">
        <x:f>L12-MEDIAN($L$5:$L$19)</x:f>
        <x:v>4.85968254268435</x:v>
      </x:c>
      <x:c r="S12" s="1"/>
      <x:c r="T12" s="1"/>
      <x:c r="U12" s="1"/>
      <x:c r="V12" s="1"/>
      <x:c r="W12" s="1"/>
      <x:c r="X12" s="1"/>
      <x:c r="Y12" s="1"/>
      <x:c r="Z12" s="1"/>
    </x:row>
    <x:row r="13">
      <x:c r="A13" s="60" t="str">
        <x:v>50040</x:v>
      </x:c>
      <x:c r="B13" s="60" t="str">
        <x:v>Ann Arbor Area Transportation Authority (AAATA)</x:v>
      </x:c>
      <x:c r="C13" s="60" t="str">
        <x:v>Ann Arbor</x:v>
      </x:c>
      <x:c r="D13" s="61" t="n">
        <x:v>32344331</x:v>
      </x:c>
      <x:c r="E13" s="61" t="n">
        <x:v>6383790</x:v>
      </x:c>
      <x:c r="F13" s="61" t="n">
        <x:v>39652942</x:v>
      </x:c>
      <x:c r="G13" s="61" t="n">
        <x:v>3175153</x:v>
      </x:c>
      <x:c r="H13" s="61" t="n">
        <x:v>3557644</x:v>
      </x:c>
      <x:c r="I13" s="61" t="n">
        <x:v>285453</x:v>
      </x:c>
      <x:c r="J13" s="61" t="n">
        <x:v>4786581</x:v>
      </x:c>
      <x:c r="K13" s="61" t="n">
        <x:v>80</x:v>
      </x:c>
      <x:c r="L13" s="62" t="n">
        <x:f>F13/J13</x:f>
        <x:v>8.284189069400476</x:v>
      </x:c>
      <x:c r="M13" s="63" t="n">
        <x:f>J13/I13</x:f>
        <x:v>16.76836817269393</x:v>
      </x:c>
      <x:c r="N13" s="63" t="n">
        <x:f>F13/H13</x:f>
        <x:v>11.145843147881013</x:v>
      </x:c>
      <x:c r="O13" s="64" t="n">
        <x:f>G13/F13</x:f>
        <x:v>0.08007357940805501</x:v>
      </x:c>
      <x:c r="P13" s="64" t="n">
        <x:f>'NTD Source'!R13/F13</x:f>
        <x:v>0.0021261221929005925</x:v>
      </x:c>
      <x:c r="Q13" s="64" t="n">
        <x:f>J13/E13</x:f>
        <x:v>0.7498023901162162</x:v>
      </x:c>
      <x:c r="R13" s="62" t="n">
        <x:f>L13-MEDIAN($L$5:$L$19)</x:f>
        <x:v>-0.24216403561552546</x:v>
      </x:c>
      <x:c r="S13" s="1"/>
      <x:c r="T13" s="1"/>
      <x:c r="U13" s="1"/>
      <x:c r="V13" s="1"/>
      <x:c r="W13" s="1"/>
      <x:c r="X13" s="1"/>
      <x:c r="Y13" s="1"/>
      <x:c r="Z13" s="1"/>
    </x:row>
    <x:row r="14">
      <x:c r="A14" s="60" t="str">
        <x:v>50119</x:v>
      </x:c>
      <x:c r="B14" s="60" t="str">
        <x:v>City of Detroit (DDOT) - Transportation</x:v>
      </x:c>
      <x:c r="C14" s="60" t="str">
        <x:v>Detroit</x:v>
      </x:c>
      <x:c r="D14" s="61" t="n">
        <x:v>110748470</x:v>
      </x:c>
      <x:c r="E14" s="61" t="n">
        <x:v>22394860</x:v>
      </x:c>
      <x:c r="F14" s="61" t="n">
        <x:v>109628702</x:v>
      </x:c>
      <x:c r="G14" s="61" t="n">
        <x:v>7938668</x:v>
      </x:c>
      <x:c r="H14" s="61" t="n">
        <x:v>9132113</x:v>
      </x:c>
      <x:c r="I14" s="61" t="n">
        <x:v>580489</x:v>
      </x:c>
      <x:c r="J14" s="61" t="n">
        <x:v>12857631</x:v>
      </x:c>
      <x:c r="K14" s="61" t="n">
        <x:v>178</x:v>
      </x:c>
      <x:c r="L14" s="62" t="n">
        <x:f>F14/J14</x:f>
        <x:v>8.526353105016002</x:v>
      </x:c>
      <x:c r="M14" s="63" t="n">
        <x:f>J14/I14</x:f>
        <x:v>22.14965485995428</x:v>
      </x:c>
      <x:c r="N14" s="63" t="n">
        <x:f>F14/H14</x:f>
        <x:v>12.00474654660975</x:v>
      </x:c>
      <x:c r="O14" s="64" t="n">
        <x:f>G14/F14</x:f>
        <x:v>0.07241413840692924</x:v>
      </x:c>
      <x:c r="P14" s="64" t="n">
        <x:f>'NTD Source'!R14/F14</x:f>
        <x:v>0.0007690230611322936</x:v>
      </x:c>
      <x:c r="Q14" s="64" t="n">
        <x:f>J14/E14</x:f>
        <x:v>0.574133126976458</x:v>
      </x:c>
      <x:c r="R14" s="62" t="n">
        <x:f>L14-MEDIAN($L$5:$L$19)</x:f>
        <x:v>0</x:v>
      </x:c>
      <x:c r="S14" s="1"/>
      <x:c r="T14" s="1"/>
      <x:c r="U14" s="1"/>
      <x:c r="V14" s="1"/>
      <x:c r="W14" s="1"/>
      <x:c r="X14" s="1"/>
      <x:c r="Y14" s="1"/>
      <x:c r="Z14" s="1"/>
    </x:row>
    <x:row r="15">
      <x:c r="A15" s="60" t="str">
        <x:v>50148</x:v>
      </x:c>
      <x:c r="B15" s="60" t="str">
        <x:v>Blue Water Area Transportation Commission (BWATC)</x:v>
      </x:c>
      <x:c r="C15" s="60" t="str">
        <x:v>Port Huron</x:v>
      </x:c>
      <x:c r="D15" s="61" t="n">
        <x:v>2968130</x:v>
      </x:c>
      <x:c r="E15" s="61" t="n">
        <x:v>906810</x:v>
      </x:c>
      <x:c r="F15" s="61" t="n">
        <x:v>3848679</x:v>
      </x:c>
      <x:c r="G15" s="61" t="n">
        <x:v>203449</x:v>
      </x:c>
      <x:c r="H15" s="61" t="n">
        <x:v>390176</x:v>
      </x:c>
      <x:c r="I15" s="61" t="n">
        <x:v>32843</x:v>
      </x:c>
      <x:c r="J15" s="61" t="n">
        <x:v>584553</x:v>
      </x:c>
      <x:c r="K15" s="61" t="n">
        <x:v>9</x:v>
      </x:c>
      <x:c r="L15" s="62" t="n">
        <x:f>F15/J15</x:f>
        <x:v>6.58396928935443</x:v>
      </x:c>
      <x:c r="M15" s="63" t="n">
        <x:f>J15/I15</x:f>
        <x:v>17.7984045306458</x:v>
      </x:c>
      <x:c r="N15" s="63" t="n">
        <x:f>F15/H15</x:f>
        <x:v>9.863956265890264</x:v>
      </x:c>
      <x:c r="O15" s="64" t="n">
        <x:f>G15/F15</x:f>
        <x:v>0.05286203396022376</x:v>
      </x:c>
      <x:c r="P15" s="64" t="n">
        <x:f>'NTD Source'!R15/F15</x:f>
        <x:v>0.05315122409533245</x:v>
      </x:c>
      <x:c r="Q15" s="64" t="n">
        <x:f>J15/E15</x:f>
        <x:v>0.6446256657954809</x:v>
      </x:c>
      <x:c r="R15" s="62" t="n">
        <x:f>L15-MEDIAN($L$5:$L$19)</x:f>
        <x:v>-1.9423838156615716</x:v>
      </x:c>
      <x:c r="S15" s="1"/>
      <x:c r="T15" s="1"/>
      <x:c r="U15" s="1"/>
      <x:c r="V15" s="1"/>
      <x:c r="W15" s="1"/>
      <x:c r="X15" s="1"/>
      <x:c r="Y15" s="1"/>
      <x:c r="Z15" s="1"/>
    </x:row>
    <x:row r="16">
      <x:c r="A16" s="60" t="str">
        <x:v>50158</x:v>
      </x:c>
      <x:c r="B16" s="60" t="str">
        <x:v>University of Michigan Parking and Transportation Services (UMTS) - Logisitics, Transportation &amp; Parking</x:v>
      </x:c>
      <x:c r="C16" s="60" t="str">
        <x:v>Ann Arbor</x:v>
      </x:c>
      <x:c r="D16" s="61" t="n">
        <x:v>9810917</x:v>
      </x:c>
      <x:c r="E16" s="61" t="n">
        <x:v>7355679</x:v>
      </x:c>
      <x:c r="F16" s="61" t="n">
        <x:v>13612510</x:v>
      </x:c>
      <x:c r="G16" s="61" t="n">
        <x:v>0</x:v>
      </x:c>
      <x:c r="H16" s="61" t="n">
        <x:v>1170623</x:v>
      </x:c>
      <x:c r="I16" s="61" t="n">
        <x:v>120913</x:v>
      </x:c>
      <x:c r="J16" s="61" t="n">
        <x:v>4567120</x:v>
      </x:c>
      <x:c r="K16" s="61" t="n">
        <x:v>46</x:v>
      </x:c>
      <x:c r="L16" s="62" t="n">
        <x:f>F16/J16</x:f>
        <x:v>2.980545726847554</x:v>
      </x:c>
      <x:c r="M16" s="63" t="n">
        <x:f>J16/I16</x:f>
        <x:v>37.77195173389131</x:v>
      </x:c>
      <x:c r="N16" s="63" t="n">
        <x:f>F16/H16</x:f>
        <x:v>11.628432040033385</x:v>
      </x:c>
      <x:c r="O16" s="64" t="n">
        <x:f>G16/F16</x:f>
        <x:v>0</x:v>
      </x:c>
      <x:c r="P16" s="64" t="n">
        <x:f>'NTD Source'!R16/F16</x:f>
        <x:v>0.01502750043893448</x:v>
      </x:c>
      <x:c r="Q16" s="64" t="n">
        <x:f>J16/E16</x:f>
        <x:v>0.6208971326780302</x:v>
      </x:c>
      <x:c r="R16" s="62" t="n">
        <x:f>L16-MEDIAN($L$5:$L$19)</x:f>
        <x:v>-5.545807378168448</x:v>
      </x:c>
      <x:c r="S16" s="1"/>
      <x:c r="T16" s="1"/>
      <x:c r="U16" s="1"/>
      <x:c r="V16" s="1"/>
      <x:c r="W16" s="1"/>
      <x:c r="X16" s="1"/>
      <x:c r="Y16" s="1"/>
      <x:c r="Z16" s="1"/>
    </x:row>
    <x:row r="17">
      <x:c r="A17" s="60" t="str">
        <x:v>50184</x:v>
      </x:c>
      <x:c r="B17" s="60" t="str">
        <x:v>Macatawa Area Express Transportation Authority (MAX)</x:v>
      </x:c>
      <x:c r="C17" s="60" t="str">
        <x:v>Holland</x:v>
      </x:c>
      <x:c r="D17" s="61" t="n">
        <x:v>2399611</x:v>
      </x:c>
      <x:c r="E17" s="61" t="n">
        <x:v>330016</x:v>
      </x:c>
      <x:c r="F17" s="61" t="n">
        <x:v>3139237</x:v>
      </x:c>
      <x:c r="G17" s="61" t="n">
        <x:v>150875</x:v>
      </x:c>
      <x:c r="H17" s="61" t="n">
        <x:v>337681</x:v>
      </x:c>
      <x:c r="I17" s="61" t="n">
        <x:v>27367</x:v>
      </x:c>
      <x:c r="J17" s="61" t="n">
        <x:v>197275</x:v>
      </x:c>
      <x:c r="K17" s="61" t="n">
        <x:v>9</x:v>
      </x:c>
      <x:c r="L17" s="62" t="n">
        <x:f>F17/J17</x:f>
        <x:v>15.912999619820049</x:v>
      </x:c>
      <x:c r="M17" s="63" t="n">
        <x:f>J17/I17</x:f>
        <x:v>7.2084992874630025</x:v>
      </x:c>
      <x:c r="N17" s="63" t="n">
        <x:f>F17/H17</x:f>
        <x:v>9.29645730734036</x:v>
      </x:c>
      <x:c r="O17" s="64" t="n">
        <x:f>G17/F17</x:f>
        <x:v>0.048061041584308545</x:v>
      </x:c>
      <x:c r="P17" s="64" t="n">
        <x:f>'NTD Source'!R17/F17</x:f>
        <x:v>0.10139406486353213</x:v>
      </x:c>
      <x:c r="Q17" s="64" t="n">
        <x:f>J17/E17</x:f>
        <x:v>0.5977740473189179</x:v>
      </x:c>
      <x:c r="R17" s="62" t="n">
        <x:f>L17-MEDIAN($L$5:$L$19)</x:f>
        <x:v>7.386646514804047</x:v>
      </x:c>
      <x:c r="S17" s="1"/>
      <x:c r="T17" s="1"/>
      <x:c r="U17" s="1"/>
      <x:c r="V17" s="1"/>
      <x:c r="W17" s="1"/>
      <x:c r="X17" s="1"/>
      <x:c r="Y17" s="1"/>
      <x:c r="Z17" s="1"/>
    </x:row>
    <x:row r="18">
      <x:c r="A18" s="60" t="str">
        <x:v>50413</x:v>
      </x:c>
      <x:c r="B18" s="60" t="str">
        <x:v>Bay Area Transportation Authority (BATA)</x:v>
      </x:c>
      <x:c r="C18" s="60" t="str">
        <x:v>Traverse City</x:v>
      </x:c>
      <x:c r="D18" s="61" t="n">
        <x:v>5898014</x:v>
      </x:c>
      <x:c r="E18" s="61" t="n">
        <x:v>473180</x:v>
      </x:c>
      <x:c r="F18" s="61" t="n">
        <x:v>6722658</x:v>
      </x:c>
      <x:c r="G18" s="61" t="n">
        <x:v>348112</x:v>
      </x:c>
      <x:c r="H18" s="61" t="n">
        <x:v>1035229</x:v>
      </x:c>
      <x:c r="I18" s="61" t="n">
        <x:v>67451</x:v>
      </x:c>
      <x:c r="J18" s="61" t="n">
        <x:v>252723</x:v>
      </x:c>
      <x:c r="K18" s="61" t="n">
        <x:v>27</x:v>
      </x:c>
      <x:c r="L18" s="62" t="n">
        <x:f>F18/J18</x:f>
        <x:v>26.600895051103382</x:v>
      </x:c>
      <x:c r="M18" s="63" t="n">
        <x:f>J18/I18</x:f>
        <x:v>3.7467643178010706</x:v>
      </x:c>
      <x:c r="N18" s="63" t="n">
        <x:f>F18/H18</x:f>
        <x:v>6.493884927875861</x:v>
      </x:c>
      <x:c r="O18" s="64" t="n">
        <x:f>G18/F18</x:f>
        <x:v>0.0517818993618298</x:v>
      </x:c>
      <x:c r="P18" s="64" t="n">
        <x:f>'NTD Source'!R18/F18</x:f>
        <x:v>0.04734734386309701</x:v>
      </x:c>
      <x:c r="Q18" s="64" t="n">
        <x:f>J18/E18</x:f>
        <x:v>0.534094847626696</x:v>
      </x:c>
      <x:c r="R18" s="62" t="n">
        <x:f>L18-MEDIAN($L$5:$L$19)</x:f>
        <x:v>18.07454194608738</x:v>
      </x:c>
      <x:c r="S18" s="1"/>
      <x:c r="T18" s="1"/>
      <x:c r="U18" s="1"/>
      <x:c r="V18" s="1"/>
      <x:c r="W18" s="1"/>
      <x:c r="X18" s="1"/>
      <x:c r="Y18" s="1"/>
      <x:c r="Z18" s="1"/>
    </x:row>
    <x:row r="19">
      <x:c r="A19" s="60" t="str">
        <x:v>50522</x:v>
      </x:c>
      <x:c r="B19" s="60" t="str">
        <x:v>Lake Erie Transportation Commission (LET) - Operations</x:v>
      </x:c>
      <x:c r="C19" s="60" t="str">
        <x:v>Monroe</x:v>
      </x:c>
      <x:c r="D19" s="61" t="n">
        <x:v>1802908</x:v>
      </x:c>
      <x:c r="E19" s="61" t="n">
        <x:v>292454</x:v>
      </x:c>
      <x:c r="F19" s="61" t="n">
        <x:v>2643654</x:v>
      </x:c>
      <x:c r="G19" s="61" t="n">
        <x:v>125178</x:v>
      </x:c>
      <x:c r="H19" s="61" t="n">
        <x:v>272865</x:v>
      </x:c>
      <x:c r="I19" s="61" t="n">
        <x:v>23036</x:v>
      </x:c>
      <x:c r="J19" s="61" t="n">
        <x:v>175520</x:v>
      </x:c>
      <x:c r="K19" s="61" t="n">
        <x:v>8</x:v>
      </x:c>
      <x:c r="L19" s="62" t="n">
        <x:f>F19/J19</x:f>
        <x:v>15.061839106654512</x:v>
      </x:c>
      <x:c r="M19" s="63" t="n">
        <x:f>J19/I19</x:f>
        <x:v>7.619378364299357</x:v>
      </x:c>
      <x:c r="N19" s="63" t="n">
        <x:f>F19/H19</x:f>
        <x:v>9.688505304821065</x:v>
      </x:c>
      <x:c r="O19" s="64" t="n">
        <x:f>G19/F19</x:f>
        <x:v>0.047350371871659455</x:v>
      </x:c>
      <x:c r="P19" s="64" t="n">
        <x:f>'NTD Source'!R19/F19</x:f>
        <x:v>0.04390060121332066</x:v>
      </x:c>
      <x:c r="Q19" s="64" t="n">
        <x:f>J19/E19</x:f>
        <x:v>0.60016276063928</x:v>
      </x:c>
      <x:c r="R19" s="62" t="n">
        <x:f>L19-MEDIAN($L$5:$L$19)</x:f>
        <x:v>6.53548600163851</x:v>
      </x:c>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1:R2"/>
    <x:mergeCell ref="A3:R3"/>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1" hidden="0" customWidth="1"/>
    <x:col min="2" max="2" width="40" hidden="0" customWidth="1"/>
    <x:col min="3" max="3" width="16" hidden="0" customWidth="1"/>
    <x:col min="4" max="4" width="8" hidden="0" customWidth="1"/>
    <x:col min="5" max="5" width="14" hidden="0" customWidth="1"/>
    <x:col min="6" max="6" width="9" hidden="0" customWidth="1"/>
    <x:col min="7" max="7" width="17" hidden="0" customWidth="1"/>
    <x:col min="8" max="8" width="17" hidden="0" customWidth="1"/>
    <x:col min="9" max="9" width="18" hidden="0" customWidth="1"/>
    <x:col min="10" max="10" width="21" hidden="0" customWidth="1"/>
    <x:col min="11" max="11" width="21" hidden="0" customWidth="1"/>
    <x:col min="12" max="12" width="14" hidden="0" customWidth="1"/>
    <x:col min="13" max="13" width="19" hidden="0" customWidth="1"/>
    <x:col min="14" max="14" width="19" hidden="0" customWidth="1"/>
    <x:col min="15" max="15" width="21" hidden="0" customWidth="1"/>
    <x:col min="16" max="16" width="18" hidden="0" customWidth="1"/>
    <x:col min="17" max="17" width="28" hidden="0" customWidth="1"/>
    <x:col min="18" max="18" width="14" hidden="0" customWidth="1"/>
  </x:cols>
  <x:sheetData>
    <x:row r="1" ht="34" customHeight="1">
      <x:c r="A1" s="4" t="str">
        <x:v>NTD Source Extract</x:v>
      </x:c>
      <x:c r="B1" s="4"/>
      <x:c r="C1" s="4"/>
      <x:c r="D1" s="4"/>
      <x:c r="E1" s="4"/>
      <x:c r="F1" s="4"/>
      <x:c r="G1" s="4"/>
      <x:c r="H1" s="4"/>
      <x:c r="I1" s="4"/>
      <x:c r="J1" s="4"/>
      <x:c r="K1" s="4"/>
      <x:c r="L1" s="4"/>
      <x:c r="M1" s="4"/>
      <x:c r="N1" s="4"/>
      <x:c r="O1" s="4"/>
      <x:c r="P1" s="4"/>
      <x:c r="Q1" s="4"/>
      <x:c r="R1" s="4"/>
      <x:c r="S1" s="1"/>
      <x:c r="T1" s="1"/>
      <x:c r="U1" s="1"/>
      <x:c r="V1" s="1"/>
      <x:c r="W1" s="1"/>
      <x:c r="X1" s="1"/>
      <x:c r="Y1" s="1"/>
      <x:c r="Z1" s="1"/>
    </x:row>
    <x:row r="2" ht="34" customHeight="1">
      <x:c r="A2" s="4"/>
      <x:c r="B2" s="4"/>
      <x:c r="C2" s="4"/>
      <x:c r="D2" s="4"/>
      <x:c r="E2" s="4"/>
      <x:c r="F2" s="4"/>
      <x:c r="G2" s="4"/>
      <x:c r="H2" s="4"/>
      <x:c r="I2" s="4"/>
      <x:c r="J2" s="4"/>
      <x:c r="K2" s="4"/>
      <x:c r="L2" s="4"/>
      <x:c r="M2" s="4"/>
      <x:c r="N2" s="4"/>
      <x:c r="O2" s="4"/>
      <x:c r="P2" s="4"/>
      <x:c r="Q2" s="4"/>
      <x:c r="R2" s="4"/>
      <x:c r="S2" s="1"/>
      <x:c r="T2" s="1"/>
      <x:c r="U2" s="1"/>
      <x:c r="V2" s="1"/>
      <x:c r="W2" s="1"/>
      <x:c r="X2" s="1"/>
      <x:c r="Y2" s="1"/>
      <x:c r="Z2" s="1"/>
    </x:row>
    <x:row r="3">
      <x:c r="A3" s="7" t="str">
        <x:v>Source: FTA National Transit Database, TS2.1 Service Data and Operating Expenses Time Series by Mode, 2024 release.</x:v>
      </x:c>
      <x:c r="B3" s="7"/>
      <x:c r="C3" s="7"/>
      <x:c r="D3" s="7"/>
      <x:c r="E3" s="7"/>
      <x:c r="F3" s="7"/>
      <x:c r="G3" s="7"/>
      <x:c r="H3" s="7"/>
      <x:c r="I3" s="7"/>
      <x:c r="J3" s="7"/>
      <x:c r="K3" s="7"/>
      <x:c r="L3" s="7"/>
      <x:c r="M3" s="7"/>
      <x:c r="N3" s="7"/>
      <x:c r="O3" s="7"/>
      <x:c r="P3" s="7"/>
      <x:c r="Q3" s="7"/>
      <x:c r="R3" s="7"/>
      <x:c r="S3" s="1"/>
      <x:c r="T3" s="1"/>
      <x:c r="U3" s="1"/>
      <x:c r="V3" s="1"/>
      <x:c r="W3" s="1"/>
      <x:c r="X3" s="1"/>
      <x:c r="Y3" s="1"/>
      <x:c r="Z3" s="1"/>
    </x:row>
    <x:row r="4">
      <x:c r="A4" s="59" t="str">
        <x:v>NTD ID</x:v>
      </x:c>
      <x:c r="B4" s="59" t="str">
        <x:v>Agency</x:v>
      </x:c>
      <x:c r="C4" s="59" t="str">
        <x:v>City</x:v>
      </x:c>
      <x:c r="D4" s="59" t="str">
        <x:v>Mode</x:v>
      </x:c>
      <x:c r="E4" s="59" t="str">
        <x:v>Type of Service</x:v>
      </x:c>
      <x:c r="F4" s="59" t="str">
        <x:v>Year</x:v>
      </x:c>
      <x:c r="G4" s="59" t="str">
        <x:v>Operating Expense</x:v>
      </x:c>
      <x:c r="H4" s="59" t="str">
        <x:v>Vehicle Operations</x:v>
      </x:c>
      <x:c r="I4" s="59" t="str">
        <x:v>Vehicle Maintenance</x:v>
      </x:c>
      <x:c r="J4" s="59" t="str">
        <x:v>Nonvehicle Maintenance</x:v>
      </x:c>
      <x:c r="K4" s="59" t="str">
        <x:v>General Administration</x:v>
      </x:c>
      <x:c r="L4" s="59" t="str">
        <x:v>Fares</x:v>
      </x:c>
      <x:c r="M4" s="59" t="str">
        <x:v>Vehicle Revenue Miles</x:v>
      </x:c>
      <x:c r="N4" s="59" t="str">
        <x:v>Vehicle Revenue Hours</x:v>
      </x:c>
      <x:c r="O4" s="59" t="str">
        <x:v>Unlinked Passenger Trips</x:v>
      </x:c>
      <x:c r="P4" s="59" t="str">
        <x:v>Vehicles in Max Service</x:v>
      </x:c>
      <x:c r="Q4" s="59" t="str">
        <x:v>UZA</x:v>
      </x:c>
      <x:c r="R4" s="59" t="str">
        <x:v>Population</x:v>
      </x:c>
      <x:c r="S4" s="1"/>
      <x:c r="T4" s="1"/>
      <x:c r="U4" s="1"/>
      <x:c r="V4" s="1"/>
      <x:c r="W4" s="1"/>
      <x:c r="X4" s="1"/>
      <x:c r="Y4" s="1"/>
      <x:c r="Z4" s="1"/>
    </x:row>
    <x:row r="5">
      <x:c r="A5" s="60" t="str">
        <x:v>50029</x:v>
      </x:c>
      <x:c r="B5" s="60" t="str">
        <x:v>Bay Metropolitan Transit Authority (BMTA)</x:v>
      </x:c>
      <x:c r="C5" s="60" t="str">
        <x:v>Bay City</x:v>
      </x:c>
      <x:c r="D5" s="60" t="str">
        <x:v>MB</x:v>
      </x:c>
      <x:c r="E5" s="60" t="str">
        <x:v>DO</x:v>
      </x:c>
      <x:c r="F5" s="60" t="n">
        <x:v>2019</x:v>
      </x:c>
      <x:c r="G5" s="61" t="n">
        <x:v>5071432</x:v>
      </x:c>
      <x:c r="H5" s="61" t="n">
        <x:v>2961313</x:v>
      </x:c>
      <x:c r="I5" s="61" t="n">
        <x:v>814999</x:v>
      </x:c>
      <x:c r="J5" s="61" t="n">
        <x:v>194383</x:v>
      </x:c>
      <x:c r="K5" s="61" t="n">
        <x:v>1100737</x:v>
      </x:c>
      <x:c r="L5" s="61" t="n">
        <x:v>411760</x:v>
      </x:c>
      <x:c r="M5" s="61" t="n">
        <x:v>822359</x:v>
      </x:c>
      <x:c r="N5" s="61" t="n">
        <x:v>40912</x:v>
      </x:c>
      <x:c r="O5" s="61" t="n">
        <x:v>442368</x:v>
      </x:c>
      <x:c r="P5" s="61" t="n">
        <x:v>38</x:v>
      </x:c>
      <x:c r="Q5" s="61" t="str">
        <x:v>Bay City, MI</x:v>
      </x:c>
      <x:c r="R5" s="61" t="n">
        <x:v>68472</x:v>
      </x:c>
      <x:c r="S5" s="1"/>
      <x:c r="T5" s="1"/>
      <x:c r="U5" s="1"/>
      <x:c r="V5" s="1"/>
      <x:c r="W5" s="1"/>
      <x:c r="X5" s="1"/>
      <x:c r="Y5" s="1"/>
      <x:c r="Z5" s="1"/>
    </x:row>
    <x:row r="6">
      <x:c r="A6" s="60" t="str">
        <x:v>50029</x:v>
      </x:c>
      <x:c r="B6" s="60" t="str">
        <x:v>Bay Metropolitan Transit Authority (BMTA)</x:v>
      </x:c>
      <x:c r="C6" s="60" t="str">
        <x:v>Bay City</x:v>
      </x:c>
      <x:c r="D6" s="60" t="str">
        <x:v>MB</x:v>
      </x:c>
      <x:c r="E6" s="60" t="str">
        <x:v>DO</x:v>
      </x:c>
      <x:c r="F6" s="60" t="n">
        <x:v>2024</x:v>
      </x:c>
      <x:c r="G6" s="61" t="n">
        <x:v>5750370</x:v>
      </x:c>
      <x:c r="H6" s="61" t="n">
        <x:v>3114885</x:v>
      </x:c>
      <x:c r="I6" s="61" t="n">
        <x:v>1015660</x:v>
      </x:c>
      <x:c r="J6" s="61" t="n">
        <x:v>340928</x:v>
      </x:c>
      <x:c r="K6" s="61" t="n">
        <x:v>1278897</x:v>
      </x:c>
      <x:c r="L6" s="61" t="n">
        <x:v>136735</x:v>
      </x:c>
      <x:c r="M6" s="61" t="n">
        <x:v>734992</x:v>
      </x:c>
      <x:c r="N6" s="61" t="n">
        <x:v>34291</x:v>
      </x:c>
      <x:c r="O6" s="61" t="n">
        <x:v>278998</x:v>
      </x:c>
      <x:c r="P6" s="61" t="n">
        <x:v>34</x:v>
      </x:c>
      <x:c r="Q6" s="61" t="str">
        <x:v>Bay City, MI</x:v>
      </x:c>
      <x:c r="R6" s="61" t="n">
        <x:v>68472</x:v>
      </x:c>
      <x:c r="S6" s="1"/>
      <x:c r="T6" s="1"/>
      <x:c r="U6" s="1"/>
      <x:c r="V6" s="1"/>
      <x:c r="W6" s="1"/>
      <x:c r="X6" s="1"/>
      <x:c r="Y6" s="1"/>
      <x:c r="Z6" s="1"/>
    </x:row>
    <x:row r="7">
      <x:c r="A7" s="60" t="str">
        <x:v>50031</x:v>
      </x:c>
      <x:c r="B7" s="60" t="str">
        <x:v>Suburban Mobility Authority for Regional Transportation (SMART)</x:v>
      </x:c>
      <x:c r="C7" s="60" t="str">
        <x:v>Detroit</x:v>
      </x:c>
      <x:c r="D7" s="60" t="str">
        <x:v>MB</x:v>
      </x:c>
      <x:c r="E7" s="60" t="str">
        <x:v>DO</x:v>
      </x:c>
      <x:c r="F7" s="60" t="n">
        <x:v>2019</x:v>
      </x:c>
      <x:c r="G7" s="61" t="n">
        <x:v>87783424</x:v>
      </x:c>
      <x:c r="H7" s="61" t="n">
        <x:v>52902022</x:v>
      </x:c>
      <x:c r="I7" s="61" t="n">
        <x:v>18090958</x:v>
      </x:c>
      <x:c r="J7" s="61" t="n">
        <x:v>914853</x:v>
      </x:c>
      <x:c r="K7" s="61" t="n">
        <x:v>15875591</x:v>
      </x:c>
      <x:c r="L7" s="61" t="n">
        <x:v>11599271</x:v>
      </x:c>
      <x:c r="M7" s="61" t="n">
        <x:v>11350945</x:v>
      </x:c>
      <x:c r="N7" s="61" t="n">
        <x:v>670143</x:v>
      </x:c>
      <x:c r="O7" s="61" t="n">
        <x:v>8616017</x:v>
      </x:c>
      <x:c r="P7" s="61" t="n">
        <x:v>226</x:v>
      </x:c>
      <x:c r="Q7" s="61" t="str">
        <x:v>Detroit, MI</x:v>
      </x:c>
      <x:c r="R7" s="61" t="n">
        <x:v>3776890</x:v>
      </x:c>
      <x:c r="S7" s="1"/>
      <x:c r="T7" s="1"/>
      <x:c r="U7" s="1"/>
      <x:c r="V7" s="1"/>
      <x:c r="W7" s="1"/>
      <x:c r="X7" s="1"/>
      <x:c r="Y7" s="1"/>
      <x:c r="Z7" s="1"/>
    </x:row>
    <x:row r="8">
      <x:c r="A8" s="60" t="str">
        <x:v>50031</x:v>
      </x:c>
      <x:c r="B8" s="60" t="str">
        <x:v>Suburban Mobility Authority for Regional Transportation (SMART)</x:v>
      </x:c>
      <x:c r="C8" s="60" t="str">
        <x:v>Detroit</x:v>
      </x:c>
      <x:c r="D8" s="60" t="str">
        <x:v>MB</x:v>
      </x:c>
      <x:c r="E8" s="60" t="str">
        <x:v>DO</x:v>
      </x:c>
      <x:c r="F8" s="60" t="n">
        <x:v>2024</x:v>
      </x:c>
      <x:c r="G8" s="61" t="n">
        <x:v>85371677</x:v>
      </x:c>
      <x:c r="H8" s="61" t="n">
        <x:v>45588248</x:v>
      </x:c>
      <x:c r="I8" s="61" t="n">
        <x:v>17777165</x:v>
      </x:c>
      <x:c r="J8" s="61" t="n">
        <x:v>1441043</x:v>
      </x:c>
      <x:c r="K8" s="61" t="n">
        <x:v>20565221</x:v>
      </x:c>
      <x:c r="L8" s="61" t="n">
        <x:v>5242534</x:v>
      </x:c>
      <x:c r="M8" s="61" t="n">
        <x:v>9667863</x:v>
      </x:c>
      <x:c r="N8" s="61" t="n">
        <x:v>571407</x:v>
      </x:c>
      <x:c r="O8" s="61" t="n">
        <x:v>5743364</x:v>
      </x:c>
      <x:c r="P8" s="61" t="n">
        <x:v>165</x:v>
      </x:c>
      <x:c r="Q8" s="61" t="str">
        <x:v>Detroit, MI</x:v>
      </x:c>
      <x:c r="R8" s="61" t="n">
        <x:v>3776890</x:v>
      </x:c>
      <x:c r="S8" s="1"/>
      <x:c r="T8" s="1"/>
      <x:c r="U8" s="1"/>
      <x:c r="V8" s="1"/>
      <x:c r="W8" s="1"/>
      <x:c r="X8" s="1"/>
      <x:c r="Y8" s="1"/>
      <x:c r="Z8" s="1"/>
    </x:row>
    <x:row r="9">
      <x:c r="A9" s="60" t="str">
        <x:v>50032</x:v>
      </x:c>
      <x:c r="B9" s="60" t="str">
        <x:v>Mass Transportation Authority (MTA)</x:v>
      </x:c>
      <x:c r="C9" s="60" t="str">
        <x:v>Flint</x:v>
      </x:c>
      <x:c r="D9" s="60" t="str">
        <x:v>MB</x:v>
      </x:c>
      <x:c r="E9" s="60" t="str">
        <x:v>DO</x:v>
      </x:c>
      <x:c r="F9" s="60" t="n">
        <x:v>2019</x:v>
      </x:c>
      <x:c r="G9" s="61" t="n">
        <x:v>19285672</x:v>
      </x:c>
      <x:c r="H9" s="61" t="n">
        <x:v>10354217</x:v>
      </x:c>
      <x:c r="I9" s="61" t="n">
        <x:v>3074160</x:v>
      </x:c>
      <x:c r="J9" s="61" t="n">
        <x:v>786735</x:v>
      </x:c>
      <x:c r="K9" s="61" t="n">
        <x:v>5070560</x:v>
      </x:c>
      <x:c r="L9" s="61" t="n">
        <x:v>4946148</x:v>
      </x:c>
      <x:c r="M9" s="61" t="n">
        <x:v>3682176</x:v>
      </x:c>
      <x:c r="N9" s="61" t="n">
        <x:v>190572</x:v>
      </x:c>
      <x:c r="O9" s="61" t="n">
        <x:v>4201682</x:v>
      </x:c>
      <x:c r="P9" s="61" t="n">
        <x:v>99</x:v>
      </x:c>
      <x:c r="Q9" s="61" t="str">
        <x:v>Flint, MI</x:v>
      </x:c>
      <x:c r="R9" s="61" t="n">
        <x:v>298964</x:v>
      </x:c>
      <x:c r="S9" s="1"/>
      <x:c r="T9" s="1"/>
      <x:c r="U9" s="1"/>
      <x:c r="V9" s="1"/>
      <x:c r="W9" s="1"/>
      <x:c r="X9" s="1"/>
      <x:c r="Y9" s="1"/>
      <x:c r="Z9" s="1"/>
    </x:row>
    <x:row r="10">
      <x:c r="A10" s="60" t="str">
        <x:v>50032</x:v>
      </x:c>
      <x:c r="B10" s="60" t="str">
        <x:v>Mass Transportation Authority (MTA)</x:v>
      </x:c>
      <x:c r="C10" s="60" t="str">
        <x:v>Flint</x:v>
      </x:c>
      <x:c r="D10" s="60" t="str">
        <x:v>MB</x:v>
      </x:c>
      <x:c r="E10" s="60" t="str">
        <x:v>DO</x:v>
      </x:c>
      <x:c r="F10" s="60" t="n">
        <x:v>2024</x:v>
      </x:c>
      <x:c r="G10" s="61" t="n">
        <x:v>18518793</x:v>
      </x:c>
      <x:c r="H10" s="61" t="n">
        <x:v>8670791</x:v>
      </x:c>
      <x:c r="I10" s="61" t="n">
        <x:v>3153897</x:v>
      </x:c>
      <x:c r="J10" s="61" t="n">
        <x:v>1278083</x:v>
      </x:c>
      <x:c r="K10" s="61" t="n">
        <x:v>5416022</x:v>
      </x:c>
      <x:c r="L10" s="61" t="n">
        <x:v>3629093</x:v>
      </x:c>
      <x:c r="M10" s="61" t="n">
        <x:v>2261889</x:v>
      </x:c>
      <x:c r="N10" s="61" t="n">
        <x:v>146789</x:v>
      </x:c>
      <x:c r="O10" s="61" t="n">
        <x:v>2661523</x:v>
      </x:c>
      <x:c r="P10" s="61" t="n">
        <x:v>82</x:v>
      </x:c>
      <x:c r="Q10" s="61" t="str">
        <x:v>Flint, MI</x:v>
      </x:c>
      <x:c r="R10" s="61" t="n">
        <x:v>298964</x:v>
      </x:c>
      <x:c r="S10" s="1"/>
      <x:c r="T10" s="1"/>
      <x:c r="U10" s="1"/>
      <x:c r="V10" s="1"/>
      <x:c r="W10" s="1"/>
      <x:c r="X10" s="1"/>
      <x:c r="Y10" s="1"/>
      <x:c r="Z10" s="1"/>
    </x:row>
    <x:row r="11">
      <x:c r="A11" s="60" t="str">
        <x:v>50033</x:v>
      </x:c>
      <x:c r="B11" s="60" t="str">
        <x:v>Interurban Transit Partnership (ITP)</x:v>
      </x:c>
      <x:c r="C11" s="60" t="str">
        <x:v>Grand Rapids</x:v>
      </x:c>
      <x:c r="D11" s="60" t="str">
        <x:v>MB</x:v>
      </x:c>
      <x:c r="E11" s="60" t="str">
        <x:v>DO</x:v>
      </x:c>
      <x:c r="F11" s="60" t="n">
        <x:v>2019</x:v>
      </x:c>
      <x:c r="G11" s="61" t="n">
        <x:v>36609821</x:v>
      </x:c>
      <x:c r="H11" s="61" t="n">
        <x:v>23663454</x:v>
      </x:c>
      <x:c r="I11" s="61" t="n">
        <x:v>5443767</x:v>
      </x:c>
      <x:c r="J11" s="61" t="n">
        <x:v>1061318</x:v>
      </x:c>
      <x:c r="K11" s="61" t="n">
        <x:v>6441282</x:v>
      </x:c>
      <x:c r="L11" s="61" t="n">
        <x:v>7185968</x:v>
      </x:c>
      <x:c r="M11" s="61" t="n">
        <x:v>5382177</x:v>
      </x:c>
      <x:c r="N11" s="61" t="n">
        <x:v>437350</x:v>
      </x:c>
      <x:c r="O11" s="61" t="n">
        <x:v>9242401</x:v>
      </x:c>
      <x:c r="P11" s="61" t="n">
        <x:v>124</x:v>
      </x:c>
      <x:c r="Q11" s="61" t="str">
        <x:v>Grand Rapids, MI</x:v>
      </x:c>
      <x:c r="R11" s="61" t="n">
        <x:v>605666</x:v>
      </x:c>
      <x:c r="S11" s="1"/>
      <x:c r="T11" s="1"/>
      <x:c r="U11" s="1"/>
      <x:c r="V11" s="1"/>
      <x:c r="W11" s="1"/>
      <x:c r="X11" s="1"/>
      <x:c r="Y11" s="1"/>
      <x:c r="Z11" s="1"/>
    </x:row>
    <x:row r="12">
      <x:c r="A12" s="60" t="str">
        <x:v>50033</x:v>
      </x:c>
      <x:c r="B12" s="60" t="str">
        <x:v>Interurban Transit Partnership (ITP)</x:v>
      </x:c>
      <x:c r="C12" s="60" t="str">
        <x:v>Grand Rapids</x:v>
      </x:c>
      <x:c r="D12" s="60" t="str">
        <x:v>MB</x:v>
      </x:c>
      <x:c r="E12" s="60" t="str">
        <x:v>DO</x:v>
      </x:c>
      <x:c r="F12" s="60" t="n">
        <x:v>2024</x:v>
      </x:c>
      <x:c r="G12" s="61" t="n">
        <x:v>37368169</x:v>
      </x:c>
      <x:c r="H12" s="61" t="n">
        <x:v>20873886</x:v>
      </x:c>
      <x:c r="I12" s="61" t="n">
        <x:v>5943202</x:v>
      </x:c>
      <x:c r="J12" s="61" t="n">
        <x:v>1717609</x:v>
      </x:c>
      <x:c r="K12" s="61" t="n">
        <x:v>8833472</x:v>
      </x:c>
      <x:c r="L12" s="61" t="n">
        <x:v>7233882</x:v>
      </x:c>
      <x:c r="M12" s="61" t="n">
        <x:v>4618913</x:v>
      </x:c>
      <x:c r="N12" s="61" t="n">
        <x:v>344997</x:v>
      </x:c>
      <x:c r="O12" s="61" t="n">
        <x:v>5765508</x:v>
      </x:c>
      <x:c r="P12" s="61" t="n">
        <x:v>104</x:v>
      </x:c>
      <x:c r="Q12" s="61" t="str">
        <x:v>Grand Rapids, MI</x:v>
      </x:c>
      <x:c r="R12" s="61" t="n">
        <x:v>605666</x:v>
      </x:c>
      <x:c r="S12" s="1"/>
      <x:c r="T12" s="1"/>
      <x:c r="U12" s="1"/>
      <x:c r="V12" s="1"/>
      <x:c r="W12" s="1"/>
      <x:c r="X12" s="1"/>
      <x:c r="Y12" s="1"/>
      <x:c r="Z12" s="1"/>
    </x:row>
    <x:row r="13">
      <x:c r="A13" s="60" t="str">
        <x:v>50034</x:v>
      </x:c>
      <x:c r="B13" s="60" t="str">
        <x:v>City of Jackson Transportation Authority (JATA)</x:v>
      </x:c>
      <x:c r="C13" s="60" t="str">
        <x:v>Jackson</x:v>
      </x:c>
      <x:c r="D13" s="60" t="str">
        <x:v>MB</x:v>
      </x:c>
      <x:c r="E13" s="60" t="str">
        <x:v>DO</x:v>
      </x:c>
      <x:c r="F13" s="60" t="n">
        <x:v>2019</x:v>
      </x:c>
      <x:c r="G13" s="61" t="n">
        <x:v>2721005</x:v>
      </x:c>
      <x:c r="H13" s="61" t="n">
        <x:v>1406958</x:v>
      </x:c>
      <x:c r="I13" s="61" t="n">
        <x:v>702399</x:v>
      </x:c>
      <x:c r="J13" s="61" t="n">
        <x:v>37180</x:v>
      </x:c>
      <x:c r="K13" s="61" t="n">
        <x:v>574468</x:v>
      </x:c>
      <x:c r="L13" s="61" t="n">
        <x:v>433831</x:v>
      </x:c>
      <x:c r="M13" s="61" t="n">
        <x:v>346479</x:v>
      </x:c>
      <x:c r="N13" s="61" t="n">
        <x:v>26019</x:v>
      </x:c>
      <x:c r="O13" s="61" t="n">
        <x:v>486001</x:v>
      </x:c>
      <x:c r="P13" s="61" t="n">
        <x:v>9</x:v>
      </x:c>
      <x:c r="Q13" s="61" t="str">
        <x:v>Jackson, MI</x:v>
      </x:c>
      <x:c r="R13" s="61" t="n">
        <x:v>84307</x:v>
      </x:c>
      <x:c r="S13" s="1"/>
      <x:c r="T13" s="1"/>
      <x:c r="U13" s="1"/>
      <x:c r="V13" s="1"/>
      <x:c r="W13" s="1"/>
      <x:c r="X13" s="1"/>
      <x:c r="Y13" s="1"/>
      <x:c r="Z13" s="1"/>
    </x:row>
    <x:row r="14">
      <x:c r="A14" s="60" t="str">
        <x:v>50034</x:v>
      </x:c>
      <x:c r="B14" s="60" t="str">
        <x:v>City of Jackson Transportation Authority (JATA)</x:v>
      </x:c>
      <x:c r="C14" s="60" t="str">
        <x:v>Jackson</x:v>
      </x:c>
      <x:c r="D14" s="60" t="str">
        <x:v>MB</x:v>
      </x:c>
      <x:c r="E14" s="60" t="str">
        <x:v>DO</x:v>
      </x:c>
      <x:c r="F14" s="60" t="n">
        <x:v>2024</x:v>
      </x:c>
      <x:c r="G14" s="61" t="n">
        <x:v>2978057</x:v>
      </x:c>
      <x:c r="H14" s="61" t="n">
        <x:v>1561956</x:v>
      </x:c>
      <x:c r="I14" s="61" t="n">
        <x:v>614650</x:v>
      </x:c>
      <x:c r="J14" s="61" t="n">
        <x:v>89295</x:v>
      </x:c>
      <x:c r="K14" s="61" t="n">
        <x:v>712156</x:v>
      </x:c>
      <x:c r="L14" s="61" t="n">
        <x:v>370132</x:v>
      </x:c>
      <x:c r="M14" s="61" t="n">
        <x:v>331242</x:v>
      </x:c>
      <x:c r="N14" s="61" t="n">
        <x:v>23453</x:v>
      </x:c>
      <x:c r="O14" s="61" t="n">
        <x:v>337931</x:v>
      </x:c>
      <x:c r="P14" s="61" t="n">
        <x:v>9</x:v>
      </x:c>
      <x:c r="Q14" s="61" t="str">
        <x:v>Jackson, MI</x:v>
      </x:c>
      <x:c r="R14" s="61" t="n">
        <x:v>84307</x:v>
      </x:c>
      <x:c r="S14" s="1"/>
      <x:c r="T14" s="1"/>
      <x:c r="U14" s="1"/>
      <x:c r="V14" s="1"/>
      <x:c r="W14" s="1"/>
      <x:c r="X14" s="1"/>
      <x:c r="Y14" s="1"/>
      <x:c r="Z14" s="1"/>
    </x:row>
    <x:row r="15">
      <x:c r="A15" s="60" t="str">
        <x:v>50035</x:v>
      </x:c>
      <x:c r="B15" s="60" t="str">
        <x:v>Central County Transportation Authority (CCTA)</x:v>
      </x:c>
      <x:c r="C15" s="60" t="str">
        <x:v>Kalamazoo</x:v>
      </x:c>
      <x:c r="D15" s="60" t="str">
        <x:v>MB</x:v>
      </x:c>
      <x:c r="E15" s="60" t="str">
        <x:v>DO</x:v>
      </x:c>
      <x:c r="F15" s="60" t="n">
        <x:v>2019</x:v>
      </x:c>
      <x:c r="G15" s="61" t="n">
        <x:v>11231612</x:v>
      </x:c>
      <x:c r="H15" s="61" t="n">
        <x:v>6738564</x:v>
      </x:c>
      <x:c r="I15" s="61" t="n">
        <x:v>2821002</x:v>
      </x:c>
      <x:c r="J15" s="61" t="n">
        <x:v>145193</x:v>
      </x:c>
      <x:c r="K15" s="61" t="n">
        <x:v>1526853</x:v>
      </x:c>
      <x:c r="L15" s="61" t="n">
        <x:v>2666442</x:v>
      </x:c>
      <x:c r="M15" s="61" t="n">
        <x:v>1758905</x:v>
      </x:c>
      <x:c r="N15" s="61" t="n">
        <x:v>131145</x:v>
      </x:c>
      <x:c r="O15" s="61" t="n">
        <x:v>2599958</x:v>
      </x:c>
      <x:c r="P15" s="61" t="n">
        <x:v>29</x:v>
      </x:c>
      <x:c r="Q15" s="61" t="str">
        <x:v>Kalamazoo, MI</x:v>
      </x:c>
      <x:c r="R15" s="61" t="n">
        <x:v>204562</x:v>
      </x:c>
      <x:c r="S15" s="1"/>
      <x:c r="T15" s="1"/>
      <x:c r="U15" s="1"/>
      <x:c r="V15" s="1"/>
      <x:c r="W15" s="1"/>
      <x:c r="X15" s="1"/>
      <x:c r="Y15" s="1"/>
      <x:c r="Z15" s="1"/>
    </x:row>
    <x:row r="16">
      <x:c r="A16" s="60" t="str">
        <x:v>50035</x:v>
      </x:c>
      <x:c r="B16" s="60" t="str">
        <x:v>Central County Transportation Authority (CCTA)</x:v>
      </x:c>
      <x:c r="C16" s="60" t="str">
        <x:v>Kalamazoo</x:v>
      </x:c>
      <x:c r="D16" s="60" t="str">
        <x:v>MB</x:v>
      </x:c>
      <x:c r="E16" s="60" t="str">
        <x:v>DO</x:v>
      </x:c>
      <x:c r="F16" s="60" t="n">
        <x:v>2024</x:v>
      </x:c>
      <x:c r="G16" s="61" t="n">
        <x:v>13073121</x:v>
      </x:c>
      <x:c r="H16" s="61" t="n">
        <x:v>8235232</x:v>
      </x:c>
      <x:c r="I16" s="61" t="n">
        <x:v>2843122</x:v>
      </x:c>
      <x:c r="J16" s="61" t="n">
        <x:v>191212</x:v>
      </x:c>
      <x:c r="K16" s="61" t="n">
        <x:v>1803555</x:v>
      </x:c>
      <x:c r="L16" s="61" t="n">
        <x:v>2640835</x:v>
      </x:c>
      <x:c r="M16" s="61" t="n">
        <x:v>1471054</x:v>
      </x:c>
      <x:c r="N16" s="61" t="n">
        <x:v>109211</x:v>
      </x:c>
      <x:c r="O16" s="61" t="n">
        <x:v>1736876</x:v>
      </x:c>
      <x:c r="P16" s="61" t="n">
        <x:v>28</x:v>
      </x:c>
      <x:c r="Q16" s="61" t="str">
        <x:v>Kalamazoo, MI</x:v>
      </x:c>
      <x:c r="R16" s="61" t="n">
        <x:v>204562</x:v>
      </x:c>
      <x:c r="S16" s="1"/>
      <x:c r="T16" s="1"/>
      <x:c r="U16" s="1"/>
      <x:c r="V16" s="1"/>
      <x:c r="W16" s="1"/>
      <x:c r="X16" s="1"/>
      <x:c r="Y16" s="1"/>
      <x:c r="Z16" s="1"/>
    </x:row>
    <x:row r="17">
      <x:c r="A17" s="60" t="str">
        <x:v>50036</x:v>
      </x:c>
      <x:c r="B17" s="60" t="str">
        <x:v>Capital Area Transportation Authority (CATA)</x:v>
      </x:c>
      <x:c r="C17" s="60" t="str">
        <x:v>Lansing</x:v>
      </x:c>
      <x:c r="D17" s="60" t="str">
        <x:v>MB</x:v>
      </x:c>
      <x:c r="E17" s="60" t="str">
        <x:v>DO</x:v>
      </x:c>
      <x:c r="F17" s="60" t="n">
        <x:v>2019</x:v>
      </x:c>
      <x:c r="G17" s="61" t="n">
        <x:v>35672455</x:v>
      </x:c>
      <x:c r="H17" s="61" t="n">
        <x:v>22441245</x:v>
      </x:c>
      <x:c r="I17" s="61" t="n">
        <x:v>5957079</x:v>
      </x:c>
      <x:c r="J17" s="61" t="n">
        <x:v>890400</x:v>
      </x:c>
      <x:c r="K17" s="61" t="n">
        <x:v>6383731</x:v>
      </x:c>
      <x:c r="L17" s="61" t="n">
        <x:v>7843741</x:v>
      </x:c>
      <x:c r="M17" s="61" t="n">
        <x:v>3532612</x:v>
      </x:c>
      <x:c r="N17" s="61" t="n">
        <x:v>286019</x:v>
      </x:c>
      <x:c r="O17" s="61" t="n">
        <x:v>10555526</x:v>
      </x:c>
      <x:c r="P17" s="61" t="n">
        <x:v>87</x:v>
      </x:c>
      <x:c r="Q17" s="61" t="str">
        <x:v>Lansing, MI</x:v>
      </x:c>
      <x:c r="R17" s="61" t="n">
        <x:v>318300</x:v>
      </x:c>
      <x:c r="S17" s="1"/>
      <x:c r="T17" s="1"/>
      <x:c r="U17" s="1"/>
      <x:c r="V17" s="1"/>
      <x:c r="W17" s="1"/>
      <x:c r="X17" s="1"/>
      <x:c r="Y17" s="1"/>
      <x:c r="Z17" s="1"/>
    </x:row>
    <x:row r="18">
      <x:c r="A18" s="60" t="str">
        <x:v>50036</x:v>
      </x:c>
      <x:c r="B18" s="60" t="str">
        <x:v>Capital Area Transportation Authority (CATA)</x:v>
      </x:c>
      <x:c r="C18" s="60" t="str">
        <x:v>Lansing</x:v>
      </x:c>
      <x:c r="D18" s="60" t="str">
        <x:v>MB</x:v>
      </x:c>
      <x:c r="E18" s="60" t="str">
        <x:v>DO</x:v>
      </x:c>
      <x:c r="F18" s="60" t="n">
        <x:v>2024</x:v>
      </x:c>
      <x:c r="G18" s="61" t="n">
        <x:v>37967097</x:v>
      </x:c>
      <x:c r="H18" s="61" t="n">
        <x:v>23974352</x:v>
      </x:c>
      <x:c r="I18" s="61" t="n">
        <x:v>6207570</x:v>
      </x:c>
      <x:c r="J18" s="61" t="n">
        <x:v>1321118</x:v>
      </x:c>
      <x:c r="K18" s="61" t="n">
        <x:v>6464057</x:v>
      </x:c>
      <x:c r="L18" s="61" t="n">
        <x:v>6747392</x:v>
      </x:c>
      <x:c r="M18" s="61" t="n">
        <x:v>3471035</x:v>
      </x:c>
      <x:c r="N18" s="61" t="n">
        <x:v>286931</x:v>
      </x:c>
      <x:c r="O18" s="61" t="n">
        <x:v>8474506</x:v>
      </x:c>
      <x:c r="P18" s="61" t="n">
        <x:v>89</x:v>
      </x:c>
      <x:c r="Q18" s="61" t="str">
        <x:v>Lansing, MI</x:v>
      </x:c>
      <x:c r="R18" s="61" t="n">
        <x:v>318300</x:v>
      </x:c>
      <x:c r="S18" s="1"/>
      <x:c r="T18" s="1"/>
      <x:c r="U18" s="1"/>
      <x:c r="V18" s="1"/>
      <x:c r="W18" s="1"/>
      <x:c r="X18" s="1"/>
      <x:c r="Y18" s="1"/>
      <x:c r="Z18" s="1"/>
    </x:row>
    <x:row r="19">
      <x:c r="A19" s="60" t="str">
        <x:v>50039</x:v>
      </x:c>
      <x:c r="B19" s="60" t="str">
        <x:v>Saginaw Transit Authority Regional Service (STARS)</x:v>
      </x:c>
      <x:c r="C19" s="60" t="str">
        <x:v>Saginaw</x:v>
      </x:c>
      <x:c r="D19" s="60" t="str">
        <x:v>MB</x:v>
      </x:c>
      <x:c r="E19" s="60" t="str">
        <x:v>DO</x:v>
      </x:c>
      <x:c r="F19" s="60" t="n">
        <x:v>2019</x:v>
      </x:c>
      <x:c r="G19" s="61" t="n">
        <x:v>6055643</x:v>
      </x:c>
      <x:c r="H19" s="61" t="n">
        <x:v>3491308</x:v>
      </x:c>
      <x:c r="I19" s="61" t="n">
        <x:v>1057810</x:v>
      </x:c>
      <x:c r="J19" s="61" t="n">
        <x:v>297659</x:v>
      </x:c>
      <x:c r="K19" s="61" t="n">
        <x:v>1208866</x:v>
      </x:c>
      <x:c r="L19" s="61" t="n">
        <x:v>975269</x:v>
      </x:c>
      <x:c r="M19" s="61" t="n">
        <x:v>1055254</x:v>
      </x:c>
      <x:c r="N19" s="61" t="n">
        <x:v>51654</x:v>
      </x:c>
      <x:c r="O19" s="61" t="n">
        <x:v>559991</x:v>
      </x:c>
      <x:c r="P19" s="61" t="n">
        <x:v>30</x:v>
      </x:c>
      <x:c r="Q19" s="61" t="str">
        <x:v>Saginaw, MI</x:v>
      </x:c>
      <x:c r="R19" s="61" t="n">
        <x:v>116058</x:v>
      </x:c>
      <x:c r="S19" s="1"/>
      <x:c r="T19" s="1"/>
      <x:c r="U19" s="1"/>
      <x:c r="V19" s="1"/>
      <x:c r="W19" s="1"/>
      <x:c r="X19" s="1"/>
      <x:c r="Y19" s="1"/>
      <x:c r="Z19" s="1"/>
    </x:row>
    <x:row r="20">
      <x:c r="A20" s="60" t="str">
        <x:v>50039</x:v>
      </x:c>
      <x:c r="B20" s="60" t="str">
        <x:v>Saginaw Transit Authority Regional Service (STARS)</x:v>
      </x:c>
      <x:c r="C20" s="60" t="str">
        <x:v>Saginaw</x:v>
      </x:c>
      <x:c r="D20" s="60" t="str">
        <x:v>MB</x:v>
      </x:c>
      <x:c r="E20" s="60" t="str">
        <x:v>DO</x:v>
      </x:c>
      <x:c r="F20" s="60" t="n">
        <x:v>2024</x:v>
      </x:c>
      <x:c r="G20" s="61" t="n">
        <x:v>7639357</x:v>
      </x:c>
      <x:c r="H20" s="61" t="n">
        <x:v>4333512</x:v>
      </x:c>
      <x:c r="I20" s="61" t="n">
        <x:v>1107376</x:v>
      </x:c>
      <x:c r="J20" s="61" t="n">
        <x:v>101444</x:v>
      </x:c>
      <x:c r="K20" s="61" t="n">
        <x:v>2097025</x:v>
      </x:c>
      <x:c r="L20" s="61" t="n">
        <x:v>752191</x:v>
      </x:c>
      <x:c r="M20" s="61" t="n">
        <x:v>890574</x:v>
      </x:c>
      <x:c r="N20" s="61" t="n">
        <x:v>80778</x:v>
      </x:c>
      <x:c r="O20" s="61" t="n">
        <x:v>570696</x:v>
      </x:c>
      <x:c r="P20" s="61" t="n">
        <x:v>21</x:v>
      </x:c>
      <x:c r="Q20" s="61" t="str">
        <x:v>Saginaw, MI</x:v>
      </x:c>
      <x:c r="R20" s="61" t="n">
        <x:v>116058</x:v>
      </x:c>
      <x:c r="S20" s="1"/>
      <x:c r="T20" s="1"/>
      <x:c r="U20" s="1"/>
      <x:c r="V20" s="1"/>
      <x:c r="W20" s="1"/>
      <x:c r="X20" s="1"/>
      <x:c r="Y20" s="1"/>
      <x:c r="Z20" s="1"/>
    </x:row>
    <x:row r="21">
      <x:c r="A21" s="60" t="str">
        <x:v>50040</x:v>
      </x:c>
      <x:c r="B21" s="60" t="str">
        <x:v>Ann Arbor Area Transportation Authority (AAATA)</x:v>
      </x:c>
      <x:c r="C21" s="60" t="str">
        <x:v>Ann Arbor</x:v>
      </x:c>
      <x:c r="D21" s="60" t="str">
        <x:v>MB</x:v>
      </x:c>
      <x:c r="E21" s="60" t="str">
        <x:v>DO</x:v>
      </x:c>
      <x:c r="F21" s="60" t="n">
        <x:v>2019</x:v>
      </x:c>
      <x:c r="G21" s="61" t="n">
        <x:v>32344331</x:v>
      </x:c>
      <x:c r="H21" s="61" t="n">
        <x:v>18540929</x:v>
      </x:c>
      <x:c r="I21" s="61" t="n">
        <x:v>4914196</x:v>
      </x:c>
      <x:c r="J21" s="61" t="n">
        <x:v>1398112</x:v>
      </x:c>
      <x:c r="K21" s="61" t="n">
        <x:v>7491094</x:v>
      </x:c>
      <x:c r="L21" s="61" t="n">
        <x:v>4644679</x:v>
      </x:c>
      <x:c r="M21" s="61" t="n">
        <x:v>3728303</x:v>
      </x:c>
      <x:c r="N21" s="61" t="n">
        <x:v>308213</x:v>
      </x:c>
      <x:c r="O21" s="61" t="n">
        <x:v>6383790</x:v>
      </x:c>
      <x:c r="P21" s="61" t="n">
        <x:v>85</x:v>
      </x:c>
      <x:c r="Q21" s="61" t="str">
        <x:v>Ann Arbor, MI</x:v>
      </x:c>
      <x:c r="R21" s="61" t="n">
        <x:v>317689</x:v>
      </x:c>
      <x:c r="S21" s="1"/>
      <x:c r="T21" s="1"/>
      <x:c r="U21" s="1"/>
      <x:c r="V21" s="1"/>
      <x:c r="W21" s="1"/>
      <x:c r="X21" s="1"/>
      <x:c r="Y21" s="1"/>
      <x:c r="Z21" s="1"/>
    </x:row>
    <x:row r="22">
      <x:c r="A22" s="60" t="str">
        <x:v>50040</x:v>
      </x:c>
      <x:c r="B22" s="60" t="str">
        <x:v>Ann Arbor Area Transportation Authority (AAATA)</x:v>
      </x:c>
      <x:c r="C22" s="60" t="str">
        <x:v>Ann Arbor</x:v>
      </x:c>
      <x:c r="D22" s="60" t="str">
        <x:v>MB</x:v>
      </x:c>
      <x:c r="E22" s="60" t="str">
        <x:v>DO</x:v>
      </x:c>
      <x:c r="F22" s="60" t="n">
        <x:v>2024</x:v>
      </x:c>
      <x:c r="G22" s="61" t="n">
        <x:v>39652942</x:v>
      </x:c>
      <x:c r="H22" s="61" t="n">
        <x:v>23313614</x:v>
      </x:c>
      <x:c r="I22" s="61" t="n">
        <x:v>7211571</x:v>
      </x:c>
      <x:c r="J22" s="61" t="n">
        <x:v>1498091</x:v>
      </x:c>
      <x:c r="K22" s="61" t="n">
        <x:v>7629666</x:v>
      </x:c>
      <x:c r="L22" s="61" t="n">
        <x:v>3175153</x:v>
      </x:c>
      <x:c r="M22" s="61" t="n">
        <x:v>3557644</x:v>
      </x:c>
      <x:c r="N22" s="61" t="n">
        <x:v>285453</x:v>
      </x:c>
      <x:c r="O22" s="61" t="n">
        <x:v>4786581</x:v>
      </x:c>
      <x:c r="P22" s="61" t="n">
        <x:v>80</x:v>
      </x:c>
      <x:c r="Q22" s="61" t="str">
        <x:v>Ann Arbor, MI</x:v>
      </x:c>
      <x:c r="R22" s="61" t="n">
        <x:v>317689</x:v>
      </x:c>
      <x:c r="S22" s="1"/>
      <x:c r="T22" s="1"/>
      <x:c r="U22" s="1"/>
      <x:c r="V22" s="1"/>
      <x:c r="W22" s="1"/>
      <x:c r="X22" s="1"/>
      <x:c r="Y22" s="1"/>
      <x:c r="Z22" s="1"/>
    </x:row>
    <x:row r="23">
      <x:c r="A23" s="60" t="str">
        <x:v>50119</x:v>
      </x:c>
      <x:c r="B23" s="60" t="str">
        <x:v>City of Detroit (DDOT) - Transportation</x:v>
      </x:c>
      <x:c r="C23" s="60" t="str">
        <x:v>Detroit</x:v>
      </x:c>
      <x:c r="D23" s="60" t="str">
        <x:v>MB</x:v>
      </x:c>
      <x:c r="E23" s="60" t="str">
        <x:v>DO</x:v>
      </x:c>
      <x:c r="F23" s="60" t="n">
        <x:v>2019</x:v>
      </x:c>
      <x:c r="G23" s="61" t="n">
        <x:v>110748470</x:v>
      </x:c>
      <x:c r="H23" s="61" t="n">
        <x:v>57220502</x:v>
      </x:c>
      <x:c r="I23" s="61" t="n">
        <x:v>27225505</x:v>
      </x:c>
      <x:c r="J23" s="61" t="n">
        <x:v>8590323</x:v>
      </x:c>
      <x:c r="K23" s="61" t="n">
        <x:v>17712140</x:v>
      </x:c>
      <x:c r="L23" s="61" t="n">
        <x:v>18146878</x:v>
      </x:c>
      <x:c r="M23" s="61" t="n">
        <x:v>11597344</x:v>
      </x:c>
      <x:c r="N23" s="61" t="n">
        <x:v>930408</x:v>
      </x:c>
      <x:c r="O23" s="61" t="n">
        <x:v>22394860</x:v>
      </x:c>
      <x:c r="P23" s="61" t="n">
        <x:v>243</x:v>
      </x:c>
      <x:c r="Q23" s="61" t="str">
        <x:v>Detroit, MI</x:v>
      </x:c>
      <x:c r="R23" s="61" t="n">
        <x:v>3776890</x:v>
      </x:c>
      <x:c r="S23" s="1"/>
      <x:c r="T23" s="1"/>
      <x:c r="U23" s="1"/>
      <x:c r="V23" s="1"/>
      <x:c r="W23" s="1"/>
      <x:c r="X23" s="1"/>
      <x:c r="Y23" s="1"/>
      <x:c r="Z23" s="1"/>
    </x:row>
    <x:row r="24">
      <x:c r="A24" s="60" t="str">
        <x:v>50119</x:v>
      </x:c>
      <x:c r="B24" s="60" t="str">
        <x:v>City of Detroit (DDOT) - Transportation</x:v>
      </x:c>
      <x:c r="C24" s="60" t="str">
        <x:v>Detroit</x:v>
      </x:c>
      <x:c r="D24" s="60" t="str">
        <x:v>MB</x:v>
      </x:c>
      <x:c r="E24" s="60" t="str">
        <x:v>DO</x:v>
      </x:c>
      <x:c r="F24" s="60" t="n">
        <x:v>2024</x:v>
      </x:c>
      <x:c r="G24" s="61" t="n">
        <x:v>109628702</x:v>
      </x:c>
      <x:c r="H24" s="61" t="n">
        <x:v>55647717</x:v>
      </x:c>
      <x:c r="I24" s="61" t="n">
        <x:v>22872237</x:v>
      </x:c>
      <x:c r="J24" s="61" t="n">
        <x:v>6533640</x:v>
      </x:c>
      <x:c r="K24" s="61" t="n">
        <x:v>24575108</x:v>
      </x:c>
      <x:c r="L24" s="61" t="n">
        <x:v>7938668</x:v>
      </x:c>
      <x:c r="M24" s="61" t="n">
        <x:v>9132113</x:v>
      </x:c>
      <x:c r="N24" s="61" t="n">
        <x:v>580489</x:v>
      </x:c>
      <x:c r="O24" s="61" t="n">
        <x:v>12857631</x:v>
      </x:c>
      <x:c r="P24" s="61" t="n">
        <x:v>178</x:v>
      </x:c>
      <x:c r="Q24" s="61" t="str">
        <x:v>Detroit, MI</x:v>
      </x:c>
      <x:c r="R24" s="61" t="n">
        <x:v>3776890</x:v>
      </x:c>
      <x:c r="S24" s="1"/>
      <x:c r="T24" s="1"/>
      <x:c r="U24" s="1"/>
      <x:c r="V24" s="1"/>
      <x:c r="W24" s="1"/>
      <x:c r="X24" s="1"/>
      <x:c r="Y24" s="1"/>
      <x:c r="Z24" s="1"/>
    </x:row>
    <x:row r="25">
      <x:c r="A25" s="60" t="str">
        <x:v>50148</x:v>
      </x:c>
      <x:c r="B25" s="60" t="str">
        <x:v>Blue Water Area Transportation Commission (BWATC)</x:v>
      </x:c>
      <x:c r="C25" s="60" t="str">
        <x:v>Port Huron</x:v>
      </x:c>
      <x:c r="D25" s="60" t="str">
        <x:v>MB</x:v>
      </x:c>
      <x:c r="E25" s="60" t="str">
        <x:v>DO</x:v>
      </x:c>
      <x:c r="F25" s="60" t="n">
        <x:v>2019</x:v>
      </x:c>
      <x:c r="G25" s="61" t="n">
        <x:v>2968130</x:v>
      </x:c>
      <x:c r="H25" s="61" t="n">
        <x:v>1482498</x:v>
      </x:c>
      <x:c r="I25" s="61" t="n">
        <x:v>710599</x:v>
      </x:c>
      <x:c r="J25" s="61" t="n">
        <x:v>152591</x:v>
      </x:c>
      <x:c r="K25" s="61" t="n">
        <x:v>622442</x:v>
      </x:c>
      <x:c r="L25" s="61" t="n">
        <x:v>296462</x:v>
      </x:c>
      <x:c r="M25" s="61" t="n">
        <x:v>391659</x:v>
      </x:c>
      <x:c r="N25" s="61" t="n">
        <x:v>32500</x:v>
      </x:c>
      <x:c r="O25" s="61" t="n">
        <x:v>906810</x:v>
      </x:c>
      <x:c r="P25" s="61" t="n">
        <x:v>9</x:v>
      </x:c>
      <x:c r="Q25" s="61" t="str">
        <x:v>Port Huron, MI</x:v>
      </x:c>
      <x:c r="R25" s="61" t="n">
        <x:v>82226</x:v>
      </x:c>
      <x:c r="S25" s="1"/>
      <x:c r="T25" s="1"/>
      <x:c r="U25" s="1"/>
      <x:c r="V25" s="1"/>
      <x:c r="W25" s="1"/>
      <x:c r="X25" s="1"/>
      <x:c r="Y25" s="1"/>
      <x:c r="Z25" s="1"/>
    </x:row>
    <x:row r="26">
      <x:c r="A26" s="60" t="str">
        <x:v>50148</x:v>
      </x:c>
      <x:c r="B26" s="60" t="str">
        <x:v>Blue Water Area Transportation Commission (BWATC)</x:v>
      </x:c>
      <x:c r="C26" s="60" t="str">
        <x:v>Port Huron</x:v>
      </x:c>
      <x:c r="D26" s="60" t="str">
        <x:v>MB</x:v>
      </x:c>
      <x:c r="E26" s="60" t="str">
        <x:v>DO</x:v>
      </x:c>
      <x:c r="F26" s="60" t="n">
        <x:v>2024</x:v>
      </x:c>
      <x:c r="G26" s="61" t="n">
        <x:v>3848679</x:v>
      </x:c>
      <x:c r="H26" s="61" t="n">
        <x:v>2008538</x:v>
      </x:c>
      <x:c r="I26" s="61" t="n">
        <x:v>844405</x:v>
      </x:c>
      <x:c r="J26" s="61" t="n">
        <x:v>264716</x:v>
      </x:c>
      <x:c r="K26" s="61" t="n">
        <x:v>731020</x:v>
      </x:c>
      <x:c r="L26" s="61" t="n">
        <x:v>203449</x:v>
      </x:c>
      <x:c r="M26" s="61" t="n">
        <x:v>390176</x:v>
      </x:c>
      <x:c r="N26" s="61" t="n">
        <x:v>32843</x:v>
      </x:c>
      <x:c r="O26" s="61" t="n">
        <x:v>584553</x:v>
      </x:c>
      <x:c r="P26" s="61" t="n">
        <x:v>9</x:v>
      </x:c>
      <x:c r="Q26" s="61" t="str">
        <x:v>Port Huron, MI</x:v>
      </x:c>
      <x:c r="R26" s="61" t="n">
        <x:v>82226</x:v>
      </x:c>
      <x:c r="S26" s="1"/>
      <x:c r="T26" s="1"/>
      <x:c r="U26" s="1"/>
      <x:c r="V26" s="1"/>
      <x:c r="W26" s="1"/>
      <x:c r="X26" s="1"/>
      <x:c r="Y26" s="1"/>
      <x:c r="Z26" s="1"/>
    </x:row>
    <x:row r="27">
      <x:c r="A27" s="60" t="str">
        <x:v>50158</x:v>
      </x:c>
      <x:c r="B27" s="60" t="str">
        <x:v>University of Michigan Parking and Transportation Services (UMTS) - Logisitics, Transportation &amp; Parking</x:v>
      </x:c>
      <x:c r="C27" s="60" t="str">
        <x:v>Ann Arbor</x:v>
      </x:c>
      <x:c r="D27" s="60" t="str">
        <x:v>MB</x:v>
      </x:c>
      <x:c r="E27" s="60" t="str">
        <x:v>DO</x:v>
      </x:c>
      <x:c r="F27" s="60" t="n">
        <x:v>2019</x:v>
      </x:c>
      <x:c r="G27" s="61" t="n">
        <x:v>9810917</x:v>
      </x:c>
      <x:c r="H27" s="61" t="n">
        <x:v>7477382</x:v>
      </x:c>
      <x:c r="I27" s="61" t="n">
        <x:v>1628025</x:v>
      </x:c>
      <x:c r="J27" s="61" t="n">
        <x:v>56818</x:v>
      </x:c>
      <x:c r="K27" s="61" t="n">
        <x:v>648692</x:v>
      </x:c>
      <x:c r="L27" s="61" t="n">
        <x:v>0</x:v>
      </x:c>
      <x:c r="M27" s="61" t="n">
        <x:v>1144755</x:v>
      </x:c>
      <x:c r="N27" s="61" t="n">
        <x:v>120461</x:v>
      </x:c>
      <x:c r="O27" s="61" t="n">
        <x:v>7355679</x:v>
      </x:c>
      <x:c r="P27" s="61" t="n">
        <x:v>46</x:v>
      </x:c>
      <x:c r="Q27" s="61" t="str">
        <x:v>Ann Arbor, MI</x:v>
      </x:c>
      <x:c r="R27" s="61" t="n">
        <x:v>317689</x:v>
      </x:c>
      <x:c r="S27" s="1"/>
      <x:c r="T27" s="1"/>
      <x:c r="U27" s="1"/>
      <x:c r="V27" s="1"/>
      <x:c r="W27" s="1"/>
      <x:c r="X27" s="1"/>
      <x:c r="Y27" s="1"/>
      <x:c r="Z27" s="1"/>
    </x:row>
    <x:row r="28">
      <x:c r="A28" s="60" t="str">
        <x:v>50158</x:v>
      </x:c>
      <x:c r="B28" s="60" t="str">
        <x:v>University of Michigan Parking and Transportation Services (UMTS) - Logisitics, Transportation &amp; Parking</x:v>
      </x:c>
      <x:c r="C28" s="60" t="str">
        <x:v>Ann Arbor</x:v>
      </x:c>
      <x:c r="D28" s="60" t="str">
        <x:v>MB</x:v>
      </x:c>
      <x:c r="E28" s="60" t="str">
        <x:v>DO</x:v>
      </x:c>
      <x:c r="F28" s="60" t="n">
        <x:v>2024</x:v>
      </x:c>
      <x:c r="G28" s="61" t="n">
        <x:v>13612510</x:v>
      </x:c>
      <x:c r="H28" s="61" t="n">
        <x:v>9912270</x:v>
      </x:c>
      <x:c r="I28" s="61" t="n">
        <x:v>2183858</x:v>
      </x:c>
      <x:c r="J28" s="61" t="n">
        <x:v>681614</x:v>
      </x:c>
      <x:c r="K28" s="61" t="n">
        <x:v>834768</x:v>
      </x:c>
      <x:c r="L28" s="61" t="n">
        <x:v>0</x:v>
      </x:c>
      <x:c r="M28" s="61" t="n">
        <x:v>1170623</x:v>
      </x:c>
      <x:c r="N28" s="61" t="n">
        <x:v>120913</x:v>
      </x:c>
      <x:c r="O28" s="61" t="n">
        <x:v>4567120</x:v>
      </x:c>
      <x:c r="P28" s="61" t="n">
        <x:v>46</x:v>
      </x:c>
      <x:c r="Q28" s="61" t="str">
        <x:v>Ann Arbor, MI</x:v>
      </x:c>
      <x:c r="R28" s="61" t="n">
        <x:v>317689</x:v>
      </x:c>
      <x:c r="S28" s="1"/>
      <x:c r="T28" s="1"/>
      <x:c r="U28" s="1"/>
      <x:c r="V28" s="1"/>
      <x:c r="W28" s="1"/>
      <x:c r="X28" s="1"/>
      <x:c r="Y28" s="1"/>
      <x:c r="Z28" s="1"/>
    </x:row>
    <x:row r="29">
      <x:c r="A29" s="60" t="str">
        <x:v>50184</x:v>
      </x:c>
      <x:c r="B29" s="60" t="str">
        <x:v>Macatawa Area Express Transportation Authority (MAX)</x:v>
      </x:c>
      <x:c r="C29" s="60" t="str">
        <x:v>Holland</x:v>
      </x:c>
      <x:c r="D29" s="60" t="str">
        <x:v>MB</x:v>
      </x:c>
      <x:c r="E29" s="60" t="str">
        <x:v>DO</x:v>
      </x:c>
      <x:c r="F29" s="60" t="n">
        <x:v>2019</x:v>
      </x:c>
      <x:c r="G29" s="61" t="n">
        <x:v>2399611</x:v>
      </x:c>
      <x:c r="H29" s="61" t="n">
        <x:v>1447827</x:v>
      </x:c>
      <x:c r="I29" s="61" t="n">
        <x:v>197466</x:v>
      </x:c>
      <x:c r="J29" s="61" t="n">
        <x:v>150091</x:v>
      </x:c>
      <x:c r="K29" s="61" t="n">
        <x:v>604227</x:v>
      </x:c>
      <x:c r="L29" s="61" t="n">
        <x:v>201892</x:v>
      </x:c>
      <x:c r="M29" s="61" t="n">
        <x:v>471853</x:v>
      </x:c>
      <x:c r="N29" s="61" t="n">
        <x:v>36785</x:v>
      </x:c>
      <x:c r="O29" s="61" t="n">
        <x:v>330016</x:v>
      </x:c>
      <x:c r="P29" s="61" t="n">
        <x:v>9</x:v>
      </x:c>
      <x:c r="Q29" s="61" t="str">
        <x:v>Holland, MI</x:v>
      </x:c>
      <x:c r="R29" s="61" t="n">
        <x:v>107034</x:v>
      </x:c>
      <x:c r="S29" s="1"/>
      <x:c r="T29" s="1"/>
      <x:c r="U29" s="1"/>
      <x:c r="V29" s="1"/>
      <x:c r="W29" s="1"/>
      <x:c r="X29" s="1"/>
      <x:c r="Y29" s="1"/>
      <x:c r="Z29" s="1"/>
    </x:row>
    <x:row r="30">
      <x:c r="A30" s="60" t="str">
        <x:v>50184</x:v>
      </x:c>
      <x:c r="B30" s="60" t="str">
        <x:v>Macatawa Area Express Transportation Authority (MAX)</x:v>
      </x:c>
      <x:c r="C30" s="60" t="str">
        <x:v>Holland</x:v>
      </x:c>
      <x:c r="D30" s="60" t="str">
        <x:v>MB</x:v>
      </x:c>
      <x:c r="E30" s="60" t="str">
        <x:v>DO</x:v>
      </x:c>
      <x:c r="F30" s="60" t="n">
        <x:v>2024</x:v>
      </x:c>
      <x:c r="G30" s="61" t="n">
        <x:v>3139237</x:v>
      </x:c>
      <x:c r="H30" s="61" t="n">
        <x:v>1760193</x:v>
      </x:c>
      <x:c r="I30" s="61" t="n">
        <x:v>278789</x:v>
      </x:c>
      <x:c r="J30" s="61" t="n">
        <x:v>218889</x:v>
      </x:c>
      <x:c r="K30" s="61" t="n">
        <x:v>881366</x:v>
      </x:c>
      <x:c r="L30" s="61" t="n">
        <x:v>150875</x:v>
      </x:c>
      <x:c r="M30" s="61" t="n">
        <x:v>337681</x:v>
      </x:c>
      <x:c r="N30" s="61" t="n">
        <x:v>27367</x:v>
      </x:c>
      <x:c r="O30" s="61" t="n">
        <x:v>197275</x:v>
      </x:c>
      <x:c r="P30" s="61" t="n">
        <x:v>9</x:v>
      </x:c>
      <x:c r="Q30" s="61" t="str">
        <x:v>Holland, MI</x:v>
      </x:c>
      <x:c r="R30" s="61" t="n">
        <x:v>107034</x:v>
      </x:c>
      <x:c r="S30" s="1"/>
      <x:c r="T30" s="1"/>
      <x:c r="U30" s="1"/>
      <x:c r="V30" s="1"/>
      <x:c r="W30" s="1"/>
      <x:c r="X30" s="1"/>
      <x:c r="Y30" s="1"/>
      <x:c r="Z30" s="1"/>
    </x:row>
    <x:row r="31">
      <x:c r="A31" s="60" t="str">
        <x:v>50413</x:v>
      </x:c>
      <x:c r="B31" s="60" t="str">
        <x:v>Bay Area Transportation Authority (BATA)</x:v>
      </x:c>
      <x:c r="C31" s="60" t="str">
        <x:v>Traverse City</x:v>
      </x:c>
      <x:c r="D31" s="60" t="str">
        <x:v>MB</x:v>
      </x:c>
      <x:c r="E31" s="60" t="str">
        <x:v>DO</x:v>
      </x:c>
      <x:c r="F31" s="60" t="n">
        <x:v>2019</x:v>
      </x:c>
      <x:c r="G31" s="61" t="n">
        <x:v>5898014</x:v>
      </x:c>
      <x:c r="H31" s="61" t="n">
        <x:v>0</x:v>
      </x:c>
      <x:c r="I31" s="61" t="n">
        <x:v>0</x:v>
      </x:c>
      <x:c r="J31" s="61" t="n">
        <x:v>0</x:v>
      </x:c>
      <x:c r="K31" s="61" t="n">
        <x:v>0</x:v>
      </x:c>
      <x:c r="L31" s="61" t="n">
        <x:v>342196</x:v>
      </x:c>
      <x:c r="M31" s="61" t="n">
        <x:v>1599732</x:v>
      </x:c>
      <x:c r="N31" s="61" t="n">
        <x:v>112640</x:v>
      </x:c>
      <x:c r="O31" s="61" t="n">
        <x:v>473180</x:v>
      </x:c>
      <x:c r="P31" s="61" t="n">
        <x:v>45</x:v>
      </x:c>
      <x:c r="Q31" s="61" t="str">
        <x:v>Traverse City--Garfield, MI</x:v>
      </x:c>
      <x:c r="R31" s="61" t="n">
        <x:v>56890</x:v>
      </x:c>
      <x:c r="S31" s="1"/>
      <x:c r="T31" s="1"/>
      <x:c r="U31" s="1"/>
      <x:c r="V31" s="1"/>
      <x:c r="W31" s="1"/>
      <x:c r="X31" s="1"/>
      <x:c r="Y31" s="1"/>
      <x:c r="Z31" s="1"/>
    </x:row>
    <x:row r="32">
      <x:c r="A32" s="60" t="str">
        <x:v>50413</x:v>
      </x:c>
      <x:c r="B32" s="60" t="str">
        <x:v>Bay Area Transportation Authority (BATA)</x:v>
      </x:c>
      <x:c r="C32" s="60" t="str">
        <x:v>Traverse City</x:v>
      </x:c>
      <x:c r="D32" s="60" t="str">
        <x:v>MB</x:v>
      </x:c>
      <x:c r="E32" s="60" t="str">
        <x:v>DO</x:v>
      </x:c>
      <x:c r="F32" s="60" t="n">
        <x:v>2024</x:v>
      </x:c>
      <x:c r="G32" s="61" t="n">
        <x:v>6722658</x:v>
      </x:c>
      <x:c r="H32" s="61" t="n">
        <x:v>4187357</x:v>
      </x:c>
      <x:c r="I32" s="61" t="n">
        <x:v>463777</x:v>
      </x:c>
      <x:c r="J32" s="61" t="n">
        <x:v>253691</x:v>
      </x:c>
      <x:c r="K32" s="61" t="n">
        <x:v>1817833</x:v>
      </x:c>
      <x:c r="L32" s="61" t="n">
        <x:v>348112</x:v>
      </x:c>
      <x:c r="M32" s="61" t="n">
        <x:v>1035229</x:v>
      </x:c>
      <x:c r="N32" s="61" t="n">
        <x:v>67451</x:v>
      </x:c>
      <x:c r="O32" s="61" t="n">
        <x:v>252723</x:v>
      </x:c>
      <x:c r="P32" s="61" t="n">
        <x:v>27</x:v>
      </x:c>
      <x:c r="Q32" s="61" t="str">
        <x:v>Traverse City--Garfield, MI</x:v>
      </x:c>
      <x:c r="R32" s="61" t="n">
        <x:v>56890</x:v>
      </x:c>
      <x:c r="S32" s="1"/>
      <x:c r="T32" s="1"/>
      <x:c r="U32" s="1"/>
      <x:c r="V32" s="1"/>
      <x:c r="W32" s="1"/>
      <x:c r="X32" s="1"/>
      <x:c r="Y32" s="1"/>
      <x:c r="Z32" s="1"/>
    </x:row>
    <x:row r="33">
      <x:c r="A33" s="60" t="str">
        <x:v>50522</x:v>
      </x:c>
      <x:c r="B33" s="60" t="str">
        <x:v>Lake Erie Transportation Commission (LET) - Operations</x:v>
      </x:c>
      <x:c r="C33" s="60" t="str">
        <x:v>Monroe</x:v>
      </x:c>
      <x:c r="D33" s="60" t="str">
        <x:v>MB</x:v>
      </x:c>
      <x:c r="E33" s="60" t="str">
        <x:v>DO</x:v>
      </x:c>
      <x:c r="F33" s="60" t="n">
        <x:v>2019</x:v>
      </x:c>
      <x:c r="G33" s="61" t="n">
        <x:v>1802908</x:v>
      </x:c>
      <x:c r="H33" s="61" t="n">
        <x:v>1105986</x:v>
      </x:c>
      <x:c r="I33" s="61" t="n">
        <x:v>364686</x:v>
      </x:c>
      <x:c r="J33" s="61" t="n">
        <x:v>73018</x:v>
      </x:c>
      <x:c r="K33" s="61" t="n">
        <x:v>259218</x:v>
      </x:c>
      <x:c r="L33" s="61" t="n">
        <x:v>182252</x:v>
      </x:c>
      <x:c r="M33" s="61" t="n">
        <x:v>280828</x:v>
      </x:c>
      <x:c r="N33" s="61" t="n">
        <x:v>23910</x:v>
      </x:c>
      <x:c r="O33" s="61" t="n">
        <x:v>292454</x:v>
      </x:c>
      <x:c r="P33" s="61" t="n">
        <x:v>8</x:v>
      </x:c>
      <x:c r="Q33" s="61" t="str">
        <x:v>Monroe, MI</x:v>
      </x:c>
      <x:c r="R33" s="61" t="n">
        <x:v>57260</x:v>
      </x:c>
      <x:c r="S33" s="1"/>
      <x:c r="T33" s="1"/>
      <x:c r="U33" s="1"/>
      <x:c r="V33" s="1"/>
      <x:c r="W33" s="1"/>
      <x:c r="X33" s="1"/>
      <x:c r="Y33" s="1"/>
      <x:c r="Z33" s="1"/>
    </x:row>
    <x:row r="34">
      <x:c r="A34" s="60" t="str">
        <x:v>50522</x:v>
      </x:c>
      <x:c r="B34" s="60" t="str">
        <x:v>Lake Erie Transportation Commission (LET) - Operations</x:v>
      </x:c>
      <x:c r="C34" s="60" t="str">
        <x:v>Monroe</x:v>
      </x:c>
      <x:c r="D34" s="60" t="str">
        <x:v>MB</x:v>
      </x:c>
      <x:c r="E34" s="60" t="str">
        <x:v>DO</x:v>
      </x:c>
      <x:c r="F34" s="60" t="n">
        <x:v>2024</x:v>
      </x:c>
      <x:c r="G34" s="61" t="n">
        <x:v>2643654</x:v>
      </x:c>
      <x:c r="H34" s="61" t="n">
        <x:v>1481078</x:v>
      </x:c>
      <x:c r="I34" s="61" t="n">
        <x:v>489110</x:v>
      </x:c>
      <x:c r="J34" s="61" t="n">
        <x:v>60020</x:v>
      </x:c>
      <x:c r="K34" s="61" t="n">
        <x:v>613446</x:v>
      </x:c>
      <x:c r="L34" s="61" t="n">
        <x:v>125178</x:v>
      </x:c>
      <x:c r="M34" s="61" t="n">
        <x:v>272865</x:v>
      </x:c>
      <x:c r="N34" s="61" t="n">
        <x:v>23036</x:v>
      </x:c>
      <x:c r="O34" s="61" t="n">
        <x:v>175520</x:v>
      </x:c>
      <x:c r="P34" s="61" t="n">
        <x:v>8</x:v>
      </x:c>
      <x:c r="Q34" s="61" t="str">
        <x:v>Monroe, MI</x:v>
      </x:c>
      <x:c r="R34" s="61" t="n">
        <x:v>57260</x:v>
      </x:c>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1:R2"/>
    <x:mergeCell ref="A3:R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92" hidden="0" customWidth="1"/>
  </x:cols>
  <x:sheetData>
    <x:row r="1" ht="34" customHeight="1">
      <x:c r="A1" s="4" t="str">
        <x:v>Method &amp; Use</x:v>
      </x:c>
      <x:c r="B1" s="4"/>
      <x:c r="C1" s="4"/>
      <x:c r="D1" s="4"/>
      <x:c r="E1" s="4"/>
      <x:c r="F1" s="4"/>
      <x:c r="G1" s="4"/>
      <x:c r="H1" s="4"/>
      <x:c r="I1" s="1"/>
      <x:c r="J1" s="1"/>
      <x:c r="K1" s="1"/>
      <x:c r="L1" s="1"/>
      <x:c r="M1" s="1"/>
      <x:c r="N1" s="1"/>
      <x:c r="O1" s="1"/>
      <x:c r="P1" s="1"/>
      <x:c r="Q1" s="1"/>
      <x:c r="R1" s="1"/>
      <x:c r="S1" s="1"/>
      <x:c r="T1" s="1"/>
      <x:c r="U1" s="1"/>
      <x:c r="V1" s="1"/>
      <x:c r="W1" s="1"/>
      <x:c r="X1" s="1"/>
      <x:c r="Y1" s="1"/>
      <x:c r="Z1" s="1"/>
    </x:row>
    <x:row r="2" ht="34" customHeight="1">
      <x:c r="A2" s="4"/>
      <x:c r="B2" s="4"/>
      <x:c r="C2" s="4"/>
      <x:c r="D2" s="4"/>
      <x:c r="E2" s="4"/>
      <x:c r="F2" s="4"/>
      <x:c r="G2" s="4"/>
      <x:c r="H2" s="4"/>
      <x:c r="I2" s="1"/>
      <x:c r="J2" s="1"/>
      <x:c r="K2" s="1"/>
      <x:c r="L2" s="1"/>
      <x:c r="M2" s="1"/>
      <x:c r="N2" s="1"/>
      <x:c r="O2" s="1"/>
      <x:c r="P2" s="1"/>
      <x:c r="Q2" s="1"/>
      <x:c r="R2" s="1"/>
      <x:c r="S2" s="1"/>
      <x:c r="T2" s="1"/>
      <x:c r="U2" s="1"/>
      <x:c r="V2" s="1"/>
      <x:c r="W2" s="1"/>
      <x:c r="X2" s="1"/>
      <x:c r="Y2" s="1"/>
      <x:c r="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row>
    <x:row r="4">
      <x:c r="A4" s="20" t="str">
        <x:v>Item</x:v>
      </x:c>
      <x:c r="B4" s="20" t="str">
        <x:v>Definition</x:v>
      </x:c>
      <x:c r="C4" s="1"/>
      <x:c r="D4" s="1"/>
      <x:c r="E4" s="1"/>
      <x:c r="F4" s="1"/>
      <x:c r="G4" s="1"/>
      <x:c r="H4" s="1"/>
      <x:c r="I4" s="1"/>
      <x:c r="J4" s="1"/>
      <x:c r="K4" s="1"/>
      <x:c r="L4" s="1"/>
      <x:c r="M4" s="1"/>
      <x:c r="N4" s="1"/>
      <x:c r="O4" s="1"/>
      <x:c r="P4" s="1"/>
      <x:c r="Q4" s="1"/>
      <x:c r="R4" s="1"/>
      <x:c r="S4" s="1"/>
      <x:c r="T4" s="1"/>
      <x:c r="U4" s="1"/>
      <x:c r="V4" s="1"/>
      <x:c r="W4" s="1"/>
      <x:c r="X4" s="1"/>
      <x:c r="Y4" s="1"/>
      <x:c r="Z4" s="1"/>
    </x:row>
    <x:row r="5">
      <x:c r="A5" s="65" t="str">
        <x:v>Decision question</x:v>
      </x:c>
      <x:c r="B5" s="65" t="str">
        <x:v>Which Michigan directly operated motor-bus systems have the highest operating cost per unlinked passenger trip, and what factors should leaders investigate?</x:v>
      </x:c>
      <x:c r="C5" s="1"/>
      <x:c r="D5" s="1"/>
      <x:c r="E5" s="1"/>
      <x:c r="F5" s="1"/>
      <x:c r="G5" s="1"/>
      <x:c r="H5" s="1"/>
      <x:c r="I5" s="1"/>
      <x:c r="J5" s="1"/>
      <x:c r="K5" s="1"/>
      <x:c r="L5" s="1"/>
      <x:c r="M5" s="1"/>
      <x:c r="N5" s="1"/>
      <x:c r="O5" s="1"/>
      <x:c r="P5" s="1"/>
      <x:c r="Q5" s="1"/>
      <x:c r="R5" s="1"/>
      <x:c r="S5" s="1"/>
      <x:c r="T5" s="1"/>
      <x:c r="U5" s="1"/>
      <x:c r="V5" s="1"/>
      <x:c r="W5" s="1"/>
      <x:c r="X5" s="1"/>
      <x:c r="Y5" s="1"/>
      <x:c r="Z5" s="1"/>
    </x:row>
    <x:row r="6">
      <x:c r="A6" s="65" t="str">
        <x:v>Unit cost</x:v>
      </x:c>
      <x:c r="B6" s="65" t="str">
        <x:v>Total operating expense ÷ unlinked passenger trips</x:v>
      </x:c>
      <x:c r="C6" s="1"/>
      <x:c r="D6" s="1"/>
      <x:c r="E6" s="1"/>
      <x:c r="F6" s="1"/>
      <x:c r="G6" s="1"/>
      <x:c r="H6" s="1"/>
      <x:c r="I6" s="1"/>
      <x:c r="J6" s="1"/>
      <x:c r="K6" s="1"/>
      <x:c r="L6" s="1"/>
      <x:c r="M6" s="1"/>
      <x:c r="N6" s="1"/>
      <x:c r="O6" s="1"/>
      <x:c r="P6" s="1"/>
      <x:c r="Q6" s="1"/>
      <x:c r="R6" s="1"/>
      <x:c r="S6" s="1"/>
      <x:c r="T6" s="1"/>
      <x:c r="U6" s="1"/>
      <x:c r="V6" s="1"/>
      <x:c r="W6" s="1"/>
      <x:c r="X6" s="1"/>
      <x:c r="Y6" s="1"/>
      <x:c r="Z6" s="1"/>
    </x:row>
    <x:row r="7">
      <x:c r="A7" s="65" t="str">
        <x:v>Productivity</x:v>
      </x:c>
      <x:c r="B7" s="65" t="str">
        <x:v>Unlinked passenger trips ÷ vehicle revenue hours</x:v>
      </x:c>
      <x:c r="C7" s="1"/>
      <x:c r="D7" s="1"/>
      <x:c r="E7" s="1"/>
      <x:c r="F7" s="1"/>
      <x:c r="G7" s="1"/>
      <x:c r="H7" s="1"/>
      <x:c r="I7" s="1"/>
      <x:c r="J7" s="1"/>
      <x:c r="K7" s="1"/>
      <x:c r="L7" s="1"/>
      <x:c r="M7" s="1"/>
      <x:c r="N7" s="1"/>
      <x:c r="O7" s="1"/>
      <x:c r="P7" s="1"/>
      <x:c r="Q7" s="1"/>
      <x:c r="R7" s="1"/>
      <x:c r="S7" s="1"/>
      <x:c r="T7" s="1"/>
      <x:c r="U7" s="1"/>
      <x:c r="V7" s="1"/>
      <x:c r="W7" s="1"/>
      <x:c r="X7" s="1"/>
      <x:c r="Y7" s="1"/>
      <x:c r="Z7" s="1"/>
    </x:row>
    <x:row r="8">
      <x:c r="A8" s="65" t="str">
        <x:v>Ridership recovery</x:v>
      </x:c>
      <x:c r="B8" s="65" t="str">
        <x:v>2024 unlinked passenger trips ÷ 2019 unlinked passenger trips</x:v>
      </x:c>
      <x:c r="C8" s="1"/>
      <x:c r="D8" s="1"/>
      <x:c r="E8" s="1"/>
      <x:c r="F8" s="1"/>
      <x:c r="G8" s="1"/>
      <x:c r="H8" s="1"/>
      <x:c r="I8" s="1"/>
      <x:c r="J8" s="1"/>
      <x:c r="K8" s="1"/>
      <x:c r="L8" s="1"/>
      <x:c r="M8" s="1"/>
      <x:c r="N8" s="1"/>
      <x:c r="O8" s="1"/>
      <x:c r="P8" s="1"/>
      <x:c r="Q8" s="1"/>
      <x:c r="R8" s="1"/>
      <x:c r="S8" s="1"/>
      <x:c r="T8" s="1"/>
      <x:c r="U8" s="1"/>
      <x:c r="V8" s="1"/>
      <x:c r="W8" s="1"/>
      <x:c r="X8" s="1"/>
      <x:c r="Y8" s="1"/>
      <x:c r="Z8" s="1"/>
    </x:row>
    <x:row r="9">
      <x:c r="A9" s="65" t="str">
        <x:v>Peer set</x:v>
      </x:c>
      <x:c r="B9" s="65" t="str">
        <x:v>Active Michigan Full Reporters, Mode MB, Type of Service DO, complete core metrics</x:v>
      </x:c>
      <x:c r="C9" s="1"/>
      <x:c r="D9" s="1"/>
      <x:c r="E9" s="1"/>
      <x:c r="F9" s="1"/>
      <x:c r="G9" s="1"/>
      <x:c r="H9" s="1"/>
      <x:c r="I9" s="1"/>
      <x:c r="J9" s="1"/>
      <x:c r="K9" s="1"/>
      <x:c r="L9" s="1"/>
      <x:c r="M9" s="1"/>
      <x:c r="N9" s="1"/>
      <x:c r="O9" s="1"/>
      <x:c r="P9" s="1"/>
      <x:c r="Q9" s="1"/>
      <x:c r="R9" s="1"/>
      <x:c r="S9" s="1"/>
      <x:c r="T9" s="1"/>
      <x:c r="U9" s="1"/>
      <x:c r="V9" s="1"/>
      <x:c r="W9" s="1"/>
      <x:c r="X9" s="1"/>
      <x:c r="Y9" s="1"/>
      <x:c r="Z9" s="1"/>
    </x:row>
    <x:row r="10">
      <x:c r="A10" s="65" t="str">
        <x:v>Use</x:v>
      </x:c>
      <x:c r="B10" s="65" t="str">
        <x:v>Screening and prioritization; pair with route-level and local operating data before action</x:v>
      </x:c>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1"/>
      <x:c r="B11" s="1"/>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7" t="str">
        <x:v>Public-data limitation: NTD system data is audited for national reporting but can reflect local accounting and service-mix differences. This project does not evaluate individual routes, employee performance, or employer-confidential information.</x:v>
      </x:c>
      <x:c r="B12" s="7"/>
      <x:c r="C12" s="7"/>
      <x:c r="D12" s="7"/>
      <x:c r="E12" s="7"/>
      <x:c r="F12" s="7"/>
      <x:c r="G12" s="7"/>
      <x:c r="H12" s="7"/>
      <x:c r="I12" s="1"/>
      <x:c r="J12" s="1"/>
      <x:c r="K12" s="1"/>
      <x:c r="L12" s="1"/>
      <x:c r="M12" s="1"/>
      <x:c r="N12" s="1"/>
      <x:c r="O12" s="1"/>
      <x:c r="P12" s="1"/>
      <x:c r="Q12" s="1"/>
      <x:c r="R12" s="1"/>
      <x:c r="S12" s="1"/>
      <x:c r="T12" s="1"/>
      <x:c r="U12" s="1"/>
      <x:c r="V12" s="1"/>
      <x:c r="W12" s="1"/>
      <x:c r="X12" s="1"/>
      <x:c r="Y12" s="1"/>
      <x:c r="Z12" s="1"/>
    </x:row>
    <x:row r="13">
      <x:c r="A13" s="7"/>
      <x:c r="B13" s="7"/>
      <x:c r="C13" s="7"/>
      <x:c r="D13" s="7"/>
      <x:c r="E13" s="7"/>
      <x:c r="F13" s="7"/>
      <x:c r="G13" s="7"/>
      <x:c r="H13" s="7"/>
      <x:c r="I13" s="1"/>
      <x:c r="J13" s="1"/>
      <x:c r="K13" s="1"/>
      <x:c r="L13" s="1"/>
      <x:c r="M13" s="1"/>
      <x:c r="N13" s="1"/>
      <x:c r="O13" s="1"/>
      <x:c r="P13" s="1"/>
      <x:c r="Q13" s="1"/>
      <x:c r="R13" s="1"/>
      <x:c r="S13" s="1"/>
      <x:c r="T13" s="1"/>
      <x:c r="U13" s="1"/>
      <x:c r="V13" s="1"/>
      <x:c r="W13" s="1"/>
      <x:c r="X13" s="1"/>
      <x:c r="Y13" s="1"/>
      <x:c r="Z13" s="1"/>
    </x:row>
    <x:row r="14">
      <x:c r="A14" s="7"/>
      <x:c r="B14" s="7"/>
      <x:c r="C14" s="7"/>
      <x:c r="D14" s="7"/>
      <x:c r="E14" s="7"/>
      <x:c r="F14" s="7"/>
      <x:c r="G14" s="7"/>
      <x:c r="H14" s="7"/>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1:H2"/>
    <x:mergeCell ref="A12:H14"/>
  </x:mergeCells>
  <x:pageMargins left="0.7" right="0.7" top="0.75" bottom="0.75" header="0.3" footer="0.3"/>
</x:worksheet>
</file>