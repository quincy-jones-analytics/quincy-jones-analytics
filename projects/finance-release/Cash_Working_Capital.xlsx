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95285df66742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925ec36ec414197"/>
    <x:sheet xmlns:r="http://schemas.openxmlformats.org/officeDocument/2006/relationships" name="Assumptions" sheetId="2" r:id="Rbce05f0c13b24126"/>
    <x:sheet xmlns:r="http://schemas.openxmlformats.org/officeDocument/2006/relationships" name="Weekly" sheetId="3" r:id="R07fc89065ebf405c"/>
    <x:sheet xmlns:r="http://schemas.openxmlformats.org/officeDocument/2006/relationships" name="Invoices" sheetId="4" r:id="R1027f78f7ea14664"/>
    <x:sheet xmlns:r="http://schemas.openxmlformats.org/officeDocument/2006/relationships" name="Review" sheetId="5" r:id="Rfde7d98405524597"/>
    <x:sheet xmlns:r="http://schemas.openxmlformats.org/officeDocument/2006/relationships" name="Actions" sheetId="6" r:id="Rec382f528a2f4457"/>
    <x:sheet xmlns:r="http://schemas.openxmlformats.org/officeDocument/2006/relationships" name="Audit" sheetId="7" r:id="R3e01691048274d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$#,##0;($#,##0);&quot;-&quot;"/>
    <x:numFmt numFmtId="202" formatCode="mm/dd/yy"/>
    <x:numFmt numFmtId="203" formatCode="d-mmm"/>
    <x:numFmt numFmtId="204" formatCode="0.0%"/>
    <x:numFmt numFmtId="205" formatCode="0.00"/>
  </x:numFmts>
  <x:fonts count="9">
    <x:font>
      <x:sz val="11"/>
      <x:name val="Carlito"/>
    </x:font>
    <x:font>
      <x:sz val="11"/>
      <x:color rgb="FF172C43"/>
      <x:name val="Arial"/>
    </x:font>
    <x:font>
      <x:b/>
      <x:sz val="16"/>
      <x:color rgb="FF17324D"/>
      <x:name val="Arial"/>
    </x:font>
    <x:font>
      <x:sz val="11"/>
      <x:color rgb="FF0759E6"/>
      <x:name val="Arial"/>
    </x:font>
    <x:font>
      <x:sz val="11"/>
      <x:color rgb="FF111111"/>
      <x:name val="Arial"/>
    </x:font>
    <x:font>
      <x:sz val="11"/>
      <x:color rgb="FF087A55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  <x:font>
      <x:sz val="11"/>
      <x:color rgb="FF1111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7324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BAFC4"/>
      </x:bottom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4" fillId="2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horizontal="center" wrapText="1"/>
    </x:xf>
    <x:xf numFmtId="0" fontId="8" fillId="0" borderId="0" xfId="0" applyNumberFormat="1" applyFont="1" applyFill="1" applyBorder="1"/>
    <x:xf numFmtId="202" fontId="0" fillId="0" borderId="0" xfId="0" applyNumberFormat="1" applyFont="1" applyFill="1" applyBorder="1"/>
    <x:xf numFmtId="200" fontId="8" fillId="0" borderId="0" xfId="0" applyNumberFormat="1" applyFont="1" applyFill="1" applyBorder="1"/>
    <x:xf numFmtId="203" fontId="1" fillId="0" borderId="0" xfId="0" applyNumberFormat="1" applyFont="1" applyFill="1" applyBorder="1"/>
    <x:xf numFmtId="201" fontId="5" fillId="0" borderId="0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5" fontId="5" fillId="0" borderId="0" xfId="0" applyNumberFormat="1" applyFont="1" applyFill="1" applyBorder="1" applyAlignment="1">
      <x:alignment wrapText="1"/>
    </x:xf>
    <x:xf numFmtId="205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407fa2990420a" /><Relationship Type="http://schemas.openxmlformats.org/officeDocument/2006/relationships/theme" Target="/xl/theme/theme1.xml" Id="R20943d069ee34865" /><Relationship Type="http://schemas.openxmlformats.org/officeDocument/2006/relationships/sharedStrings" Target="/xl/sharedStrings.xml" Id="R9d22aef99a264eb6" /><Relationship Type="http://schemas.openxmlformats.org/officeDocument/2006/relationships/worksheet" Target="/xl/worksheets/sheet1.xml" Id="Rf925ec36ec414197" /><Relationship Type="http://schemas.openxmlformats.org/officeDocument/2006/relationships/worksheet" Target="/xl/worksheets/sheet2.xml" Id="Rbce05f0c13b24126" /><Relationship Type="http://schemas.openxmlformats.org/officeDocument/2006/relationships/worksheet" Target="/xl/worksheets/sheet3.xml" Id="R07fc89065ebf405c" /><Relationship Type="http://schemas.openxmlformats.org/officeDocument/2006/relationships/worksheet" Target="/xl/worksheets/sheet4.xml" Id="R1027f78f7ea14664" /><Relationship Type="http://schemas.openxmlformats.org/officeDocument/2006/relationships/worksheet" Target="/xl/worksheets/sheet5.xml" Id="Rfde7d98405524597" /><Relationship Type="http://schemas.openxmlformats.org/officeDocument/2006/relationships/worksheet" Target="/xl/worksheets/sheet6.xml" Id="Rec382f528a2f4457" /><Relationship Type="http://schemas.openxmlformats.org/officeDocument/2006/relationships/worksheet" Target="/xl/worksheets/sheet7.xml" Id="R3e01691048274d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51185a279641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Weekly cash before financing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Ending cash</c:v>
          </c:tx>
          <c:spPr>
            <a:solidFill xmlns:a="http://schemas.openxmlformats.org/drawingml/2006/main">
              <a:srgbClr val="17324D"/>
            </a:solidFill>
            <a:ln xmlns:a="http://schemas.openxmlformats.org/drawingml/2006/main" w="19050">
              <a:solidFill>
                <a:srgbClr val="17324D"/>
              </a:solidFill>
              <a:prstDash val="solid"/>
            </a:ln>
          </c:spPr>
          <c:marker>
            <c:symbol val="none"/>
          </c:marker>
          <c:cat>
            <c:strRef>
              <c:f>'Summary'!$C$17:$C$29</c:f>
              <c:strCache>
                <c:ptCount val="0"/>
              </c:strCache>
            </c:strRef>
          </c:cat>
          <c:val>
            <c:numRef>
              <c:f>'Summary'!$D$17:$D$29</c:f>
              <c:numCache>
                <c:formatCode>$#,##0;($#,##0);"-"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floor</c:v>
          </c:tx>
          <c:spPr>
            <a:solidFill xmlns:a="http://schemas.openxmlformats.org/drawingml/2006/main">
              <a:srgbClr val="15A6AC"/>
            </a:solidFill>
            <a:ln xmlns:a="http://schemas.openxmlformats.org/drawingml/2006/main" w="19050">
              <a:solidFill>
                <a:srgbClr val="15A6AC"/>
              </a:solidFill>
              <a:prstDash val="solid"/>
            </a:ln>
          </c:spPr>
          <c:marker>
            <c:symbol val="none"/>
          </c:marker>
          <c:cat>
            <c:strRef>
              <c:f>'Summary'!$C$17:$C$29</c:f>
              <c:strCache>
                <c:ptCount val="0"/>
              </c:strCache>
            </c:strRef>
          </c:cat>
          <c:val>
            <c:numRef>
              <c:f>'Summary'!$E$17:$E$29</c:f>
              <c:numCache>
                <c:formatCode>$#,##0;($#,##0);"-"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7</xdr:row>
      <xdr:rowOff>0</xdr:rowOff>
    </xdr:from>
    <xdr:to>
      <xdr:col>15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51185a279641d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aac6d1e6cd412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26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 ht="22" customHeight="1">
      <x:c r="A2" s="1"/>
      <x:c r="B2" s="1"/>
      <x:c r="C2" s="2" t="str">
        <x:v>13-week liquidity and working capital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15" hidden="0" customHeight="1">
      <x:c r="A6" s="1"/>
      <x:c r="B6" s="1"/>
      <x:c r="C6" s="14" t="str">
        <x:v>Metric</x:v>
      </x:c>
      <x:c r="D6" s="14" t="str">
        <x:v>Value</x:v>
      </x:c>
      <x:c r="E6" s="14" t="str">
        <x:v>Basis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 ht="15" hidden="0" customHeight="1">
      <x:c r="A7" s="1"/>
      <x:c r="B7" s="1"/>
      <x:c r="C7" s="5" t="str">
        <x:v>Lowest weekly cash</x:v>
      </x:c>
      <x:c r="D7" s="18" t="n">
        <x:f>MIN('Weekly'!D18:P18)</x:f>
        <x:v>119000</x:v>
      </x:c>
      <x:c r="E7" s="5" t="str">
        <x:v>Before financing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 ht="15" hidden="0" customHeight="1">
      <x:c r="A8" s="1"/>
      <x:c r="B8" s="1"/>
      <x:c r="C8" s="5" t="str">
        <x:v>Funding needed to maintain floor</x:v>
      </x:c>
      <x:c r="D8" s="18" t="n">
        <x:f>MAX('Weekly'!D20:P20)</x:f>
        <x:v>0</x:v>
      </x:c>
      <x:c r="E8" s="5" t="str">
        <x:v>Peak cumulative gap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 ht="15" hidden="0" customHeight="1">
      <x:c r="A9" s="1"/>
      <x:c r="B9" s="1"/>
      <x:c r="C9" s="5" t="str">
        <x:v>Ending cash</x:v>
      </x:c>
      <x:c r="D9" s="18" t="n">
        <x:f>'Weekly'!P18</x:f>
        <x:v>149000</x:v>
      </x:c>
      <x:c r="E9" s="5" t="str">
        <x:v>Week 13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</x:row>
    <x:row r="10" ht="15" hidden="0" customHeight="1">
      <x:c r="A10" s="1"/>
      <x:c r="B10" s="1"/>
      <x:c r="C10" s="5" t="str">
        <x:v>Open invoices beyond horizon</x:v>
      </x:c>
      <x:c r="D10" s="18" t="n">
        <x:f>SUMIFS('Invoices'!F7:F32,'Invoices'!H7:H32,"&gt;13")</x:f>
        <x:v>0</x:v>
      </x:c>
      <x:c r="E10" s="5" t="str">
        <x:v>Carry-forward, not lost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 ht="15" hidden="0" customHeight="1">
      <x:c r="A11" s="1"/>
      <x:c r="B11" s="1"/>
      <x:c r="C11" s="5" t="str">
        <x:v>Capex beyond horizon</x:v>
      </x:c>
      <x:c r="D11" s="18" t="n">
        <x:f>IF('Assumptions'!D18&gt;13,'Assumptions'!G16,0)</x:f>
        <x:v>0</x:v>
      </x:c>
      <x:c r="E11" s="5" t="str">
        <x:v>Future obligation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 ht="26.399999618530273" hidden="0" customHeight="1">
      <x:c r="A12" s="1"/>
      <x:c r="B12" s="1"/>
      <x:c r="C12" s="5" t="str">
        <x:v>Opening overdue receivables</x:v>
      </x:c>
      <x:c r="D12" s="18" t="n">
        <x:f>SUMIFS('Invoices'!F7:F32,'Invoices'!G7:G32,1)</x:f>
        <x:v>194000</x:v>
      </x:c>
      <x:c r="E12" s="5" t="str">
        <x:v>Eligible collection queue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 ht="15" hidden="0" customHeight="1">
      <x:c r="A16" s="1"/>
      <x:c r="B16" s="1"/>
      <x:c r="C16" s="14" t="str">
        <x:v>Week</x:v>
      </x:c>
      <x:c r="D16" s="14" t="str">
        <x:v>Ending cash</x:v>
      </x:c>
      <x:c r="E16" s="14" t="str">
        <x:v>Minimum floor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</x:row>
    <x:row r="17" ht="15" hidden="0" customHeight="1">
      <x:c r="A17" s="1"/>
      <x:c r="B17" s="1"/>
      <x:c r="C17" s="5" t="str">
        <x:v>W1</x:v>
      </x:c>
      <x:c r="D17" s="18" t="n">
        <x:f>'Weekly'!D18</x:f>
        <x:v>179000</x:v>
      </x:c>
      <x:c r="E17" s="18" t="n">
        <x:f>'Weekly'!D19</x:f>
        <x:v>100000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</x:row>
    <x:row r="18" ht="15" hidden="0" customHeight="1">
      <x:c r="A18" s="1"/>
      <x:c r="B18" s="1"/>
      <x:c r="C18" s="5" t="str">
        <x:v>W2</x:v>
      </x:c>
      <x:c r="D18" s="18" t="n">
        <x:f>'Weekly'!E18</x:f>
        <x:v>190000</x:v>
      </x:c>
      <x:c r="E18" s="18" t="n">
        <x:f>'Weekly'!E19</x:f>
        <x:v>100000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</x:row>
    <x:row r="19" ht="15" hidden="0" customHeight="1">
      <x:c r="A19" s="1"/>
      <x:c r="B19" s="1"/>
      <x:c r="C19" s="5" t="str">
        <x:v>W3</x:v>
      </x:c>
      <x:c r="D19" s="18" t="n">
        <x:f>'Weekly'!F18</x:f>
        <x:v>189000</x:v>
      </x:c>
      <x:c r="E19" s="18" t="n">
        <x:f>'Weekly'!F19</x:f>
        <x:v>100000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 ht="15" hidden="0" customHeight="1">
      <x:c r="A20" s="1"/>
      <x:c r="B20" s="1"/>
      <x:c r="C20" s="5" t="str">
        <x:v>W4</x:v>
      </x:c>
      <x:c r="D20" s="18" t="n">
        <x:f>'Weekly'!G18</x:f>
        <x:v>200000</x:v>
      </x:c>
      <x:c r="E20" s="18" t="n">
        <x:f>'Weekly'!G19</x:f>
        <x:v>100000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 ht="15" hidden="0" customHeight="1">
      <x:c r="A21" s="1"/>
      <x:c r="B21" s="1"/>
      <x:c r="C21" s="5" t="str">
        <x:v>W5</x:v>
      </x:c>
      <x:c r="D21" s="18" t="n">
        <x:f>'Weekly'!H18</x:f>
        <x:v>199000</x:v>
      </x:c>
      <x:c r="E21" s="18" t="n">
        <x:f>'Weekly'!H19</x:f>
        <x:v>100000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 ht="15" hidden="0" customHeight="1">
      <x:c r="A22" s="1"/>
      <x:c r="B22" s="1"/>
      <x:c r="C22" s="5" t="str">
        <x:v>W6</x:v>
      </x:c>
      <x:c r="D22" s="18" t="n">
        <x:f>'Weekly'!I18</x:f>
        <x:v>120000</x:v>
      </x:c>
      <x:c r="E22" s="18" t="n">
        <x:f>'Weekly'!I19</x:f>
        <x:v>100000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</x:row>
    <x:row r="23" ht="15" hidden="0" customHeight="1">
      <x:c r="A23" s="1"/>
      <x:c r="B23" s="1"/>
      <x:c r="C23" s="5" t="str">
        <x:v>W7</x:v>
      </x:c>
      <x:c r="D23" s="18" t="n">
        <x:f>'Weekly'!J18</x:f>
        <x:v>119000</x:v>
      </x:c>
      <x:c r="E23" s="18" t="n">
        <x:f>'Weekly'!J19</x:f>
        <x:v>100000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 ht="15" hidden="0" customHeight="1">
      <x:c r="A24" s="1"/>
      <x:c r="B24" s="1"/>
      <x:c r="C24" s="5" t="str">
        <x:v>W8</x:v>
      </x:c>
      <x:c r="D24" s="18" t="n">
        <x:f>'Weekly'!K18</x:f>
        <x:v>130000</x:v>
      </x:c>
      <x:c r="E24" s="18" t="n">
        <x:f>'Weekly'!K19</x:f>
        <x:v>100000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 ht="15" hidden="0" customHeight="1">
      <x:c r="A25" s="1"/>
      <x:c r="B25" s="1"/>
      <x:c r="C25" s="5" t="str">
        <x:v>W9</x:v>
      </x:c>
      <x:c r="D25" s="18" t="n">
        <x:f>'Weekly'!L18</x:f>
        <x:v>129000</x:v>
      </x:c>
      <x:c r="E25" s="18" t="n">
        <x:f>'Weekly'!L19</x:f>
        <x:v>100000</x:v>
      </x:c>
      <x:c r="F25" s="1"/>
      <x:c r="G25" s="1"/>
      <x:c r="H25" s="5" t="str">
        <x:v>Accelerate eligible collections with consent. Defer capex only after review.</x:v>
      </x:c>
      <x:c r="I25" s="5"/>
      <x:c r="J25" s="5"/>
      <x:c r="K25" s="5"/>
      <x:c r="L25" s="5"/>
      <x:c r="M25" s="5"/>
      <x:c r="N25" s="5"/>
      <x:c r="O25" s="5"/>
    </x:row>
    <x:row r="26" ht="15" hidden="0" customHeight="1">
      <x:c r="A26" s="1"/>
      <x:c r="B26" s="1"/>
      <x:c r="C26" s="5" t="str">
        <x:v>W10</x:v>
      </x:c>
      <x:c r="D26" s="18" t="n">
        <x:f>'Weekly'!M18</x:f>
        <x:v>140000</x:v>
      </x:c>
      <x:c r="E26" s="18" t="n">
        <x:f>'Weekly'!M19</x:f>
        <x:v>100000</x:v>
      </x:c>
      <x:c r="F26" s="1"/>
      <x:c r="G26" s="1"/>
      <x:c r="H26" s="5"/>
      <x:c r="I26" s="5"/>
      <x:c r="J26" s="5"/>
      <x:c r="K26" s="5"/>
      <x:c r="L26" s="5"/>
      <x:c r="M26" s="5"/>
      <x:c r="N26" s="5"/>
      <x:c r="O26" s="5"/>
    </x:row>
    <x:row r="27" ht="15" hidden="0" customHeight="1">
      <x:c r="A27" s="1"/>
      <x:c r="B27" s="1"/>
      <x:c r="C27" s="5" t="str">
        <x:v>W11</x:v>
      </x:c>
      <x:c r="D27" s="18" t="n">
        <x:f>'Weekly'!N18</x:f>
        <x:v>139000</x:v>
      </x:c>
      <x:c r="E27" s="18" t="n">
        <x:f>'Weekly'!N19</x:f>
        <x:v>100000</x:v>
      </x:c>
      <x:c r="F27" s="1"/>
      <x:c r="G27" s="1"/>
      <x:c r="H27" s="5"/>
      <x:c r="I27" s="5"/>
      <x:c r="J27" s="5"/>
      <x:c r="K27" s="5"/>
      <x:c r="L27" s="5"/>
      <x:c r="M27" s="5"/>
      <x:c r="N27" s="5"/>
      <x:c r="O27" s="5"/>
    </x:row>
    <x:row r="28" ht="15" hidden="0" customHeight="1">
      <x:c r="A28" s="1"/>
      <x:c r="B28" s="1"/>
      <x:c r="C28" s="5" t="str">
        <x:v>W12</x:v>
      </x:c>
      <x:c r="D28" s="18" t="n">
        <x:f>'Weekly'!O18</x:f>
        <x:v>150000</x:v>
      </x:c>
      <x:c r="E28" s="18" t="n">
        <x:f>'Weekly'!O19</x:f>
        <x:v>100000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 ht="15" hidden="0" customHeight="1">
      <x:c r="A29" s="1"/>
      <x:c r="B29" s="1"/>
      <x:c r="C29" s="5" t="str">
        <x:v>W13</x:v>
      </x:c>
      <x:c r="D29" s="18" t="n">
        <x:f>'Weekly'!P18</x:f>
        <x:v>149000</x:v>
      </x:c>
      <x:c r="E29" s="18" t="n">
        <x:f>'Weekly'!P19</x:f>
        <x:v>100000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</x:sheetData>
  <x:mergeCells>
    <x:mergeCell ref="D4:F4"/>
    <x:mergeCell ref="H25:O27"/>
  </x:mergeCells>
  <x:pageMargins left="0.7" right="0.7" top="0.75" bottom="0.75" header="0.3" footer="0.3"/>
  <x:drawing xmlns:r="http://schemas.openxmlformats.org/officeDocument/2006/relationships" r:id="R5aaac6d1e6cd412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28" hidden="0" customWidth="1"/>
    <x:col min="7" max="7" width="28" hidden="0" customWidth="1"/>
    <x:col min="8" max="8" width="28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Cash timing assumptions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6" t="str">
        <x:f>CHOOSE(D5,"Base","Delayed receipts","Mitigation")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 t="str">
        <x:v>Case selected</x:v>
      </x:c>
      <x:c r="D5" s="4" t="n">
        <x:v>1</x:v>
      </x:c>
      <x:c r="E5" s="1"/>
      <x:c r="F5" s="5" t="str">
        <x:v>1 Base / 2 Delayed receipts / 3 Mitigation</x:v>
      </x:c>
      <x:c r="G5" s="5"/>
      <x:c r="H5" s="5"/>
      <x:c r="I5" s="5"/>
      <x:c r="J5" s="5"/>
      <x:c r="K5" s="5"/>
      <x:c r="L5" s="1"/>
    </x:row>
    <x:row r="6" ht="22" customHeight="1">
      <x:c r="A6" s="1"/>
      <x:c r="B6" s="1"/>
      <x:c r="C6" s="1"/>
      <x:c r="D6" s="1"/>
      <x:c r="E6" s="1"/>
      <x:c r="F6" s="5"/>
      <x:c r="G6" s="5"/>
      <x:c r="H6" s="5"/>
      <x:c r="I6" s="5"/>
      <x:c r="J6" s="5"/>
      <x:c r="K6" s="5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10" t="str">
        <x:v>Receipt delay (weeks) (active)</x:v>
      </x:c>
      <x:c r="D8" s="11" t="n">
        <x:f>IF(ISNUMBER(CHOOSE($D$5,D9,D10,D11)),CHOOSE($D$5,D9,D10,D11),NA())</x:f>
        <x:v>0</x:v>
      </x:c>
      <x:c r="E8" s="1"/>
      <x:c r="F8" s="14" t="str">
        <x:v>Input</x:v>
      </x:c>
      <x:c r="G8" s="14" t="str">
        <x:v>Value</x:v>
      </x:c>
      <x:c r="H8" s="14" t="str">
        <x:v>Basis</x:v>
      </x:c>
      <x:c r="I8" s="1"/>
      <x:c r="J8" s="1"/>
      <x:c r="K8" s="1"/>
      <x:c r="L8" s="1"/>
    </x:row>
    <x:row r="9" ht="26.399999618530273" hidden="0" customHeight="1">
      <x:c r="A9" s="1"/>
      <x:c r="B9" s="1"/>
      <x:c r="C9" s="1" t="str">
        <x:v>Base</x:v>
      </x:c>
      <x:c r="D9" s="9" t="n">
        <x:v>0</x:v>
      </x:c>
      <x:c r="E9" s="1"/>
      <x:c r="F9" s="5" t="str">
        <x:v>Opening cash</x:v>
      </x:c>
      <x:c r="G9" s="15" t="n">
        <x:v>180000</x:v>
      </x:c>
      <x:c r="H9" s="5" t="str">
        <x:v>Synthetic opening bank balance</x:v>
      </x:c>
      <x:c r="I9" s="1"/>
      <x:c r="J9" s="1"/>
      <x:c r="K9" s="1"/>
      <x:c r="L9" s="1"/>
    </x:row>
    <x:row r="10" ht="15" hidden="0" customHeight="1">
      <x:c r="A10" s="1"/>
      <x:c r="B10" s="1"/>
      <x:c r="C10" s="1" t="str">
        <x:v>Delayed receipts</x:v>
      </x:c>
      <x:c r="D10" s="9" t="n">
        <x:v>2</x:v>
      </x:c>
      <x:c r="E10" s="1"/>
      <x:c r="F10" s="5" t="str">
        <x:v>Minimum cash</x:v>
      </x:c>
      <x:c r="G10" s="15" t="n">
        <x:v>100000</x:v>
      </x:c>
      <x:c r="H10" s="5" t="str">
        <x:v>Management floor</x:v>
      </x:c>
      <x:c r="I10" s="1"/>
      <x:c r="J10" s="1"/>
      <x:c r="K10" s="1"/>
      <x:c r="L10" s="1"/>
    </x:row>
    <x:row r="11" ht="26.399999618530273" hidden="0" customHeight="1">
      <x:c r="A11" s="1"/>
      <x:c r="B11" s="1"/>
      <x:c r="C11" s="1" t="str">
        <x:v>Mitigation</x:v>
      </x:c>
      <x:c r="D11" s="9" t="n">
        <x:v>2</x:v>
      </x:c>
      <x:c r="E11" s="1"/>
      <x:c r="F11" s="5" t="str">
        <x:v>Weekly direct cash sales</x:v>
      </x:c>
      <x:c r="G11" s="15" t="n">
        <x:v>20000</x:v>
      </x:c>
      <x:c r="H11" s="5" t="str">
        <x:v>Excludes open invoice receipts</x:v>
      </x:c>
      <x:c r="I11" s="1"/>
      <x:c r="J11" s="1"/>
      <x:c r="K11" s="1"/>
      <x:c r="L11" s="1"/>
    </x:row>
    <x:row r="12" ht="15" hidden="0" customHeight="1">
      <x:c r="A12" s="1"/>
      <x:c r="B12" s="1"/>
      <x:c r="C12" s="1"/>
      <x:c r="D12" s="1"/>
      <x:c r="E12" s="1"/>
      <x:c r="F12" s="5" t="str">
        <x:v>Weekly payroll</x:v>
      </x:c>
      <x:c r="G12" s="15" t="n">
        <x:v>45000</x:v>
      </x:c>
      <x:c r="H12" s="5" t="str">
        <x:v>Cash payments</x:v>
      </x:c>
      <x:c r="I12" s="1"/>
      <x:c r="J12" s="1"/>
      <x:c r="K12" s="1"/>
      <x:c r="L12" s="1"/>
    </x:row>
    <x:row r="13" ht="15" hidden="0" customHeight="1">
      <x:c r="A13" s="1"/>
      <x:c r="B13" s="1"/>
      <x:c r="C13" s="10" t="str">
        <x:v>Eligible acceleration (weeks) (active)</x:v>
      </x:c>
      <x:c r="D13" s="11" t="n">
        <x:f>IF(ISNUMBER(CHOOSE($D$5,D14,D15,D16)),CHOOSE($D$5,D14,D15,D16),NA())</x:f>
        <x:v>0</x:v>
      </x:c>
      <x:c r="E13" s="1"/>
      <x:c r="F13" s="5" t="str">
        <x:v>Weekly fuel</x:v>
      </x:c>
      <x:c r="G13" s="15" t="n">
        <x:v>20000</x:v>
      </x:c>
      <x:c r="H13" s="5" t="str">
        <x:v>Cash payments</x:v>
      </x:c>
      <x:c r="I13" s="1"/>
      <x:c r="J13" s="1"/>
      <x:c r="K13" s="1"/>
      <x:c r="L13" s="1"/>
    </x:row>
    <x:row r="14" ht="15" hidden="0" customHeight="1">
      <x:c r="A14" s="1"/>
      <x:c r="B14" s="1"/>
      <x:c r="C14" s="1" t="str">
        <x:v>Base</x:v>
      </x:c>
      <x:c r="D14" s="9" t="n">
        <x:v>0</x:v>
      </x:c>
      <x:c r="E14" s="1"/>
      <x:c r="F14" s="5" t="str">
        <x:v>Weekly supplier AP</x:v>
      </x:c>
      <x:c r="G14" s="15" t="n">
        <x:v>35000</x:v>
      </x:c>
      <x:c r="H14" s="5" t="str">
        <x:v>Cash payments</x:v>
      </x:c>
      <x:c r="I14" s="1"/>
      <x:c r="J14" s="1"/>
      <x:c r="K14" s="1"/>
      <x:c r="L14" s="1"/>
    </x:row>
    <x:row r="15" ht="26.399999618530273" hidden="0" customHeight="1">
      <x:c r="A15" s="1"/>
      <x:c r="B15" s="1"/>
      <x:c r="C15" s="1" t="str">
        <x:v>Delayed receipts</x:v>
      </x:c>
      <x:c r="D15" s="9" t="n">
        <x:v>0</x:v>
      </x:c>
      <x:c r="E15" s="1"/>
      <x:c r="F15" s="5" t="str">
        <x:v>Weekly lease payments</x:v>
      </x:c>
      <x:c r="G15" s="15" t="n">
        <x:v>12000</x:v>
      </x:c>
      <x:c r="H15" s="5" t="str">
        <x:v>Cash payments</x:v>
      </x:c>
      <x:c r="I15" s="1"/>
      <x:c r="J15" s="1"/>
      <x:c r="K15" s="1"/>
      <x:c r="L15" s="1"/>
    </x:row>
    <x:row r="16" ht="26.399999618530273" hidden="0" customHeight="1">
      <x:c r="A16" s="1"/>
      <x:c r="B16" s="1"/>
      <x:c r="C16" s="1" t="str">
        <x:v>Mitigation</x:v>
      </x:c>
      <x:c r="D16" s="9" t="n">
        <x:v>2</x:v>
      </x:c>
      <x:c r="E16" s="1"/>
      <x:c r="F16" s="5" t="str">
        <x:v>One-time capex</x:v>
      </x:c>
      <x:c r="G16" s="15" t="n">
        <x:v>90000</x:v>
      </x:c>
      <x:c r="H16" s="5" t="str">
        <x:v>Deferred to week 14 in action case</x:v>
      </x:c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0" t="str">
        <x:v>Capex week (active)</x:v>
      </x:c>
      <x:c r="D18" s="11" t="n">
        <x:f>IF(ISNUMBER(CHOOSE($D$5,D19,D20,D21)),CHOOSE($D$5,D19,D20,D21),NA())</x:f>
        <x:v>6</x:v>
      </x:c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 t="str">
        <x:v>Base</x:v>
      </x:c>
      <x:c r="D19" s="9" t="n">
        <x:v>6</x:v>
      </x:c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 t="str">
        <x:v>Delayed receipts</x:v>
      </x:c>
      <x:c r="D20" s="9" t="n">
        <x:v>6</x:v>
      </x:c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 t="str">
        <x:v>Mitigation</x:v>
      </x:c>
      <x:c r="D21" s="9" t="n">
        <x:v>14</x:v>
      </x:c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5" t="str">
        <x:v>Week 1 starts 5-Oct-2026. No financing availability is assumed.</x:v>
      </x:c>
      <x:c r="D25" s="5"/>
      <x:c r="E25" s="5"/>
      <x:c r="F25" s="5"/>
      <x:c r="G25" s="5"/>
      <x:c r="H25" s="5"/>
      <x:c r="I25" s="5"/>
      <x:c r="J25" s="5"/>
      <x:c r="K25" s="5"/>
      <x:c r="L25" s="1"/>
    </x:row>
    <x:row r="26" ht="22" customHeight="1">
      <x:c r="A26" s="1"/>
      <x:c r="B26" s="1"/>
      <x:c r="C26" s="5"/>
      <x:c r="D26" s="5"/>
      <x:c r="E26" s="5"/>
      <x:c r="F26" s="5"/>
      <x:c r="G26" s="5"/>
      <x:c r="H26" s="5"/>
      <x:c r="I26" s="5"/>
      <x:c r="J26" s="5"/>
      <x:c r="K26" s="5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5" t="str">
        <x:v>Action changes timing only. Deferred capex remains a week-14 obligation.</x:v>
      </x:c>
      <x:c r="D28" s="5"/>
      <x:c r="E28" s="5"/>
      <x:c r="F28" s="5"/>
      <x:c r="G28" s="5"/>
      <x:c r="H28" s="5"/>
      <x:c r="I28" s="5"/>
      <x:c r="J28" s="5"/>
      <x:c r="K28" s="5"/>
      <x:c r="L28" s="1"/>
    </x:row>
    <x:row r="29" ht="22" customHeight="1">
      <x:c r="A29" s="1"/>
      <x:c r="B29" s="1"/>
      <x:c r="C29" s="5"/>
      <x:c r="D29" s="5"/>
      <x:c r="E29" s="5"/>
      <x:c r="F29" s="5"/>
      <x:c r="G29" s="5"/>
      <x:c r="H29" s="5"/>
      <x:c r="I29" s="5"/>
      <x:c r="J29" s="5"/>
      <x:c r="K29" s="5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F5:K6"/>
    <x:mergeCell ref="C25:K26"/>
    <x:mergeCell ref="C28:K29"/>
  </x:mergeCells>
  <x:dataValidations count="1">
    <x:dataValidation type="list" sqref="D5">
      <x:formula1>"1,2,3"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2" customHeight="1">
      <x:c r="A2" s="1"/>
      <x:c r="B2" s="1"/>
      <x:c r="C2" s="2" t="str">
        <x:v>Weekly cash forecast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2" customHeight="1">
      <x:c r="A5" s="1"/>
      <x:c r="B5" s="1"/>
      <x:c r="C5" s="1"/>
      <x:c r="D5" s="4" t="n">
        <x:v>1</x:v>
      </x:c>
      <x:c r="E5" s="4" t="n">
        <x:v>2</x:v>
      </x:c>
      <x:c r="F5" s="4" t="n">
        <x:v>3</x:v>
      </x:c>
      <x:c r="G5" s="4" t="n">
        <x:v>4</x:v>
      </x:c>
      <x:c r="H5" s="4" t="n">
        <x:v>5</x:v>
      </x:c>
      <x:c r="I5" s="4" t="n">
        <x:v>6</x:v>
      </x:c>
      <x:c r="J5" s="4" t="n">
        <x:v>7</x:v>
      </x:c>
      <x:c r="K5" s="4" t="n">
        <x:v>8</x:v>
      </x:c>
      <x:c r="L5" s="4" t="n">
        <x:v>9</x:v>
      </x:c>
      <x:c r="M5" s="4" t="n">
        <x:v>10</x:v>
      </x:c>
      <x:c r="N5" s="4" t="n">
        <x:v>11</x:v>
      </x:c>
      <x:c r="O5" s="4" t="n">
        <x:v>12</x:v>
      </x:c>
      <x:c r="P5" s="4" t="n">
        <x:v>13</x:v>
      </x:c>
    </x:row>
    <x:row r="6" ht="22" customHeight="1">
      <x:c r="A6" s="1"/>
      <x:c r="B6" s="1"/>
      <x:c r="C6" s="1"/>
      <x:c r="D6" s="27" t="d">
        <x:v>2026-10-05T00:00:00.000Z</x:v>
      </x:c>
      <x:c r="E6" s="27" t="d">
        <x:v>2026-10-12T00:00:00.000Z</x:v>
      </x:c>
      <x:c r="F6" s="27" t="d">
        <x:v>2026-10-19T00:00:00.000Z</x:v>
      </x:c>
      <x:c r="G6" s="27" t="d">
        <x:v>2026-10-26T00:00:00.000Z</x:v>
      </x:c>
      <x:c r="H6" s="27" t="d">
        <x:v>2026-11-02T00:00:00.000Z</x:v>
      </x:c>
      <x:c r="I6" s="27" t="d">
        <x:v>2026-11-09T00:00:00.000Z</x:v>
      </x:c>
      <x:c r="J6" s="27" t="d">
        <x:v>2026-11-16T00:00:00.000Z</x:v>
      </x:c>
      <x:c r="K6" s="27" t="d">
        <x:v>2026-11-23T00:00:00.000Z</x:v>
      </x:c>
      <x:c r="L6" s="27" t="d">
        <x:v>2026-11-30T00:00:00.000Z</x:v>
      </x:c>
      <x:c r="M6" s="27" t="d">
        <x:v>2026-12-07T00:00:00.000Z</x:v>
      </x:c>
      <x:c r="N6" s="27" t="d">
        <x:v>2026-12-14T00:00:00.000Z</x:v>
      </x:c>
      <x:c r="O6" s="27" t="d">
        <x:v>2026-12-21T00:00:00.000Z</x:v>
      </x:c>
      <x:c r="P6" s="27" t="d">
        <x:v>2026-12-28T00:00:00.000Z</x:v>
      </x:c>
    </x:row>
    <x:row r="7" ht="22" customHeight="1">
      <x:c r="A7" s="1"/>
      <x:c r="B7" s="1"/>
      <x:c r="C7" s="1" t="str">
        <x:v>Opening cash</x:v>
      </x:c>
      <x:c r="D7" s="28" t="n">
        <x:f>'Assumptions'!G9</x:f>
        <x:v>180000</x:v>
      </x:c>
      <x:c r="E7" s="29" t="n">
        <x:f>D18</x:f>
        <x:v>179000</x:v>
      </x:c>
      <x:c r="F7" s="29" t="n">
        <x:f>E18</x:f>
        <x:v>190000</x:v>
      </x:c>
      <x:c r="G7" s="29" t="n">
        <x:f>F18</x:f>
        <x:v>189000</x:v>
      </x:c>
      <x:c r="H7" s="29" t="n">
        <x:f>G18</x:f>
        <x:v>200000</x:v>
      </x:c>
      <x:c r="I7" s="29" t="n">
        <x:f>H18</x:f>
        <x:v>199000</x:v>
      </x:c>
      <x:c r="J7" s="29" t="n">
        <x:f>I18</x:f>
        <x:v>120000</x:v>
      </x:c>
      <x:c r="K7" s="29" t="n">
        <x:f>J18</x:f>
        <x:v>119000</x:v>
      </x:c>
      <x:c r="L7" s="29" t="n">
        <x:f>K18</x:f>
        <x:v>130000</x:v>
      </x:c>
      <x:c r="M7" s="29" t="n">
        <x:f>L18</x:f>
        <x:v>129000</x:v>
      </x:c>
      <x:c r="N7" s="29" t="n">
        <x:f>M18</x:f>
        <x:v>140000</x:v>
      </x:c>
      <x:c r="O7" s="29" t="n">
        <x:f>N18</x:f>
        <x:v>139000</x:v>
      </x:c>
      <x:c r="P7" s="29" t="n">
        <x:f>O18</x:f>
        <x:v>150000</x:v>
      </x:c>
    </x:row>
    <x:row r="8" ht="22" customHeight="1">
      <x:c r="A8" s="1"/>
      <x:c r="B8" s="1"/>
      <x:c r="C8" s="1" t="str">
        <x:v>Open invoice collections</x:v>
      </x:c>
      <x:c r="D8" s="28" t="n">
        <x:f>SUMIFS('Invoices'!$F$7:$F$32,'Invoices'!$H$7:$H$32,D$5)</x:f>
        <x:v>91000</x:v>
      </x:c>
      <x:c r="E8" s="28" t="n">
        <x:f>SUMIFS('Invoices'!$F$7:$F$32,'Invoices'!$H$7:$H$32,E$5)</x:f>
        <x:v>103000</x:v>
      </x:c>
      <x:c r="F8" s="28" t="n">
        <x:f>SUMIFS('Invoices'!$F$7:$F$32,'Invoices'!$H$7:$H$32,F$5)</x:f>
        <x:v>91000</x:v>
      </x:c>
      <x:c r="G8" s="28" t="n">
        <x:f>SUMIFS('Invoices'!$F$7:$F$32,'Invoices'!$H$7:$H$32,G$5)</x:f>
        <x:v>103000</x:v>
      </x:c>
      <x:c r="H8" s="28" t="n">
        <x:f>SUMIFS('Invoices'!$F$7:$F$32,'Invoices'!$H$7:$H$32,H$5)</x:f>
        <x:v>91000</x:v>
      </x:c>
      <x:c r="I8" s="28" t="n">
        <x:f>SUMIFS('Invoices'!$F$7:$F$32,'Invoices'!$H$7:$H$32,I$5)</x:f>
        <x:v>103000</x:v>
      </x:c>
      <x:c r="J8" s="28" t="n">
        <x:f>SUMIFS('Invoices'!$F$7:$F$32,'Invoices'!$H$7:$H$32,J$5)</x:f>
        <x:v>91000</x:v>
      </x:c>
      <x:c r="K8" s="28" t="n">
        <x:f>SUMIFS('Invoices'!$F$7:$F$32,'Invoices'!$H$7:$H$32,K$5)</x:f>
        <x:v>103000</x:v>
      </x:c>
      <x:c r="L8" s="28" t="n">
        <x:f>SUMIFS('Invoices'!$F$7:$F$32,'Invoices'!$H$7:$H$32,L$5)</x:f>
        <x:v>91000</x:v>
      </x:c>
      <x:c r="M8" s="28" t="n">
        <x:f>SUMIFS('Invoices'!$F$7:$F$32,'Invoices'!$H$7:$H$32,M$5)</x:f>
        <x:v>103000</x:v>
      </x:c>
      <x:c r="N8" s="28" t="n">
        <x:f>SUMIFS('Invoices'!$F$7:$F$32,'Invoices'!$H$7:$H$32,N$5)</x:f>
        <x:v>91000</x:v>
      </x:c>
      <x:c r="O8" s="28" t="n">
        <x:f>SUMIFS('Invoices'!$F$7:$F$32,'Invoices'!$H$7:$H$32,O$5)</x:f>
        <x:v>103000</x:v>
      </x:c>
      <x:c r="P8" s="28" t="n">
        <x:f>SUMIFS('Invoices'!$F$7:$F$32,'Invoices'!$H$7:$H$32,P$5)</x:f>
        <x:v>91000</x:v>
      </x:c>
    </x:row>
    <x:row r="9" ht="22" customHeight="1">
      <x:c r="A9" s="1"/>
      <x:c r="B9" s="1"/>
      <x:c r="C9" s="1" t="str">
        <x:v>Direct cash sales</x:v>
      </x:c>
      <x:c r="D9" s="28" t="n">
        <x:f>'Assumptions'!$G$11</x:f>
        <x:v>20000</x:v>
      </x:c>
      <x:c r="E9" s="28" t="n">
        <x:f>'Assumptions'!$G$11</x:f>
        <x:v>20000</x:v>
      </x:c>
      <x:c r="F9" s="28" t="n">
        <x:f>'Assumptions'!$G$11</x:f>
        <x:v>20000</x:v>
      </x:c>
      <x:c r="G9" s="28" t="n">
        <x:f>'Assumptions'!$G$11</x:f>
        <x:v>20000</x:v>
      </x:c>
      <x:c r="H9" s="28" t="n">
        <x:f>'Assumptions'!$G$11</x:f>
        <x:v>20000</x:v>
      </x:c>
      <x:c r="I9" s="28" t="n">
        <x:f>'Assumptions'!$G$11</x:f>
        <x:v>20000</x:v>
      </x:c>
      <x:c r="J9" s="28" t="n">
        <x:f>'Assumptions'!$G$11</x:f>
        <x:v>20000</x:v>
      </x:c>
      <x:c r="K9" s="28" t="n">
        <x:f>'Assumptions'!$G$11</x:f>
        <x:v>20000</x:v>
      </x:c>
      <x:c r="L9" s="28" t="n">
        <x:f>'Assumptions'!$G$11</x:f>
        <x:v>20000</x:v>
      </x:c>
      <x:c r="M9" s="28" t="n">
        <x:f>'Assumptions'!$G$11</x:f>
        <x:v>20000</x:v>
      </x:c>
      <x:c r="N9" s="28" t="n">
        <x:f>'Assumptions'!$G$11</x:f>
        <x:v>20000</x:v>
      </x:c>
      <x:c r="O9" s="28" t="n">
        <x:f>'Assumptions'!$G$11</x:f>
        <x:v>20000</x:v>
      </x:c>
      <x:c r="P9" s="28" t="n">
        <x:f>'Assumptions'!$G$11</x:f>
        <x:v>20000</x:v>
      </x:c>
    </x:row>
    <x:row r="10" ht="22" customHeight="1">
      <x:c r="A10" s="1"/>
      <x:c r="B10" s="1"/>
      <x:c r="C10" s="1" t="str">
        <x:v>Total receipts</x:v>
      </x:c>
      <x:c r="D10" s="29" t="n">
        <x:f>SUM(D8:D9)</x:f>
        <x:v>111000</x:v>
      </x:c>
      <x:c r="E10" s="29" t="n">
        <x:f>SUM(E8:E9)</x:f>
        <x:v>123000</x:v>
      </x:c>
      <x:c r="F10" s="29" t="n">
        <x:f>SUM(F8:F9)</x:f>
        <x:v>111000</x:v>
      </x:c>
      <x:c r="G10" s="29" t="n">
        <x:f>SUM(G8:G9)</x:f>
        <x:v>123000</x:v>
      </x:c>
      <x:c r="H10" s="29" t="n">
        <x:f>SUM(H8:H9)</x:f>
        <x:v>111000</x:v>
      </x:c>
      <x:c r="I10" s="29" t="n">
        <x:f>SUM(I8:I9)</x:f>
        <x:v>123000</x:v>
      </x:c>
      <x:c r="J10" s="29" t="n">
        <x:f>SUM(J8:J9)</x:f>
        <x:v>111000</x:v>
      </x:c>
      <x:c r="K10" s="29" t="n">
        <x:f>SUM(K8:K9)</x:f>
        <x:v>123000</x:v>
      </x:c>
      <x:c r="L10" s="29" t="n">
        <x:f>SUM(L8:L9)</x:f>
        <x:v>111000</x:v>
      </x:c>
      <x:c r="M10" s="29" t="n">
        <x:f>SUM(M8:M9)</x:f>
        <x:v>123000</x:v>
      </x:c>
      <x:c r="N10" s="29" t="n">
        <x:f>SUM(N8:N9)</x:f>
        <x:v>111000</x:v>
      </x:c>
      <x:c r="O10" s="29" t="n">
        <x:f>SUM(O8:O9)</x:f>
        <x:v>123000</x:v>
      </x:c>
      <x:c r="P10" s="29" t="n">
        <x:f>SUM(P8:P9)</x:f>
        <x:v>111000</x:v>
      </x:c>
    </x:row>
    <x:row r="11" ht="22" customHeight="1">
      <x:c r="A11" s="1"/>
      <x:c r="B11" s="1"/>
      <x:c r="C11" s="1" t="str">
        <x:v>Payroll</x:v>
      </x:c>
      <x:c r="D11" s="28" t="n">
        <x:f>'Assumptions'!$G$12</x:f>
        <x:v>45000</x:v>
      </x:c>
      <x:c r="E11" s="28" t="n">
        <x:f>'Assumptions'!$G$12</x:f>
        <x:v>45000</x:v>
      </x:c>
      <x:c r="F11" s="28" t="n">
        <x:f>'Assumptions'!$G$12</x:f>
        <x:v>45000</x:v>
      </x:c>
      <x:c r="G11" s="28" t="n">
        <x:f>'Assumptions'!$G$12</x:f>
        <x:v>45000</x:v>
      </x:c>
      <x:c r="H11" s="28" t="n">
        <x:f>'Assumptions'!$G$12</x:f>
        <x:v>45000</x:v>
      </x:c>
      <x:c r="I11" s="28" t="n">
        <x:f>'Assumptions'!$G$12</x:f>
        <x:v>45000</x:v>
      </x:c>
      <x:c r="J11" s="28" t="n">
        <x:f>'Assumptions'!$G$12</x:f>
        <x:v>45000</x:v>
      </x:c>
      <x:c r="K11" s="28" t="n">
        <x:f>'Assumptions'!$G$12</x:f>
        <x:v>45000</x:v>
      </x:c>
      <x:c r="L11" s="28" t="n">
        <x:f>'Assumptions'!$G$12</x:f>
        <x:v>45000</x:v>
      </x:c>
      <x:c r="M11" s="28" t="n">
        <x:f>'Assumptions'!$G$12</x:f>
        <x:v>45000</x:v>
      </x:c>
      <x:c r="N11" s="28" t="n">
        <x:f>'Assumptions'!$G$12</x:f>
        <x:v>45000</x:v>
      </x:c>
      <x:c r="O11" s="28" t="n">
        <x:f>'Assumptions'!$G$12</x:f>
        <x:v>45000</x:v>
      </x:c>
      <x:c r="P11" s="28" t="n">
        <x:f>'Assumptions'!$G$12</x:f>
        <x:v>45000</x:v>
      </x:c>
    </x:row>
    <x:row r="12" ht="22" customHeight="1">
      <x:c r="A12" s="1"/>
      <x:c r="B12" s="1"/>
      <x:c r="C12" s="1" t="str">
        <x:v>Fuel</x:v>
      </x:c>
      <x:c r="D12" s="28" t="n">
        <x:f>'Assumptions'!$G$13</x:f>
        <x:v>20000</x:v>
      </x:c>
      <x:c r="E12" s="28" t="n">
        <x:f>'Assumptions'!$G$13</x:f>
        <x:v>20000</x:v>
      </x:c>
      <x:c r="F12" s="28" t="n">
        <x:f>'Assumptions'!$G$13</x:f>
        <x:v>20000</x:v>
      </x:c>
      <x:c r="G12" s="28" t="n">
        <x:f>'Assumptions'!$G$13</x:f>
        <x:v>20000</x:v>
      </x:c>
      <x:c r="H12" s="28" t="n">
        <x:f>'Assumptions'!$G$13</x:f>
        <x:v>20000</x:v>
      </x:c>
      <x:c r="I12" s="28" t="n">
        <x:f>'Assumptions'!$G$13</x:f>
        <x:v>20000</x:v>
      </x:c>
      <x:c r="J12" s="28" t="n">
        <x:f>'Assumptions'!$G$13</x:f>
        <x:v>20000</x:v>
      </x:c>
      <x:c r="K12" s="28" t="n">
        <x:f>'Assumptions'!$G$13</x:f>
        <x:v>20000</x:v>
      </x:c>
      <x:c r="L12" s="28" t="n">
        <x:f>'Assumptions'!$G$13</x:f>
        <x:v>20000</x:v>
      </x:c>
      <x:c r="M12" s="28" t="n">
        <x:f>'Assumptions'!$G$13</x:f>
        <x:v>20000</x:v>
      </x:c>
      <x:c r="N12" s="28" t="n">
        <x:f>'Assumptions'!$G$13</x:f>
        <x:v>20000</x:v>
      </x:c>
      <x:c r="O12" s="28" t="n">
        <x:f>'Assumptions'!$G$13</x:f>
        <x:v>20000</x:v>
      </x:c>
      <x:c r="P12" s="28" t="n">
        <x:f>'Assumptions'!$G$13</x:f>
        <x:v>20000</x:v>
      </x:c>
    </x:row>
    <x:row r="13" ht="22" customHeight="1">
      <x:c r="A13" s="1"/>
      <x:c r="B13" s="1"/>
      <x:c r="C13" s="1" t="str">
        <x:v>Supplier payments</x:v>
      </x:c>
      <x:c r="D13" s="28" t="n">
        <x:f>'Assumptions'!$G$14</x:f>
        <x:v>35000</x:v>
      </x:c>
      <x:c r="E13" s="28" t="n">
        <x:f>'Assumptions'!$G$14</x:f>
        <x:v>35000</x:v>
      </x:c>
      <x:c r="F13" s="28" t="n">
        <x:f>'Assumptions'!$G$14</x:f>
        <x:v>35000</x:v>
      </x:c>
      <x:c r="G13" s="28" t="n">
        <x:f>'Assumptions'!$G$14</x:f>
        <x:v>35000</x:v>
      </x:c>
      <x:c r="H13" s="28" t="n">
        <x:f>'Assumptions'!$G$14</x:f>
        <x:v>35000</x:v>
      </x:c>
      <x:c r="I13" s="28" t="n">
        <x:f>'Assumptions'!$G$14</x:f>
        <x:v>35000</x:v>
      </x:c>
      <x:c r="J13" s="28" t="n">
        <x:f>'Assumptions'!$G$14</x:f>
        <x:v>35000</x:v>
      </x:c>
      <x:c r="K13" s="28" t="n">
        <x:f>'Assumptions'!$G$14</x:f>
        <x:v>35000</x:v>
      </x:c>
      <x:c r="L13" s="28" t="n">
        <x:f>'Assumptions'!$G$14</x:f>
        <x:v>35000</x:v>
      </x:c>
      <x:c r="M13" s="28" t="n">
        <x:f>'Assumptions'!$G$14</x:f>
        <x:v>35000</x:v>
      </x:c>
      <x:c r="N13" s="28" t="n">
        <x:f>'Assumptions'!$G$14</x:f>
        <x:v>35000</x:v>
      </x:c>
      <x:c r="O13" s="28" t="n">
        <x:f>'Assumptions'!$G$14</x:f>
        <x:v>35000</x:v>
      </x:c>
      <x:c r="P13" s="28" t="n">
        <x:f>'Assumptions'!$G$14</x:f>
        <x:v>35000</x:v>
      </x:c>
    </x:row>
    <x:row r="14" ht="22" customHeight="1">
      <x:c r="A14" s="1"/>
      <x:c r="B14" s="1"/>
      <x:c r="C14" s="1" t="str">
        <x:v>Lease payments</x:v>
      </x:c>
      <x:c r="D14" s="28" t="n">
        <x:f>'Assumptions'!$G$15</x:f>
        <x:v>12000</x:v>
      </x:c>
      <x:c r="E14" s="28" t="n">
        <x:f>'Assumptions'!$G$15</x:f>
        <x:v>12000</x:v>
      </x:c>
      <x:c r="F14" s="28" t="n">
        <x:f>'Assumptions'!$G$15</x:f>
        <x:v>12000</x:v>
      </x:c>
      <x:c r="G14" s="28" t="n">
        <x:f>'Assumptions'!$G$15</x:f>
        <x:v>12000</x:v>
      </x:c>
      <x:c r="H14" s="28" t="n">
        <x:f>'Assumptions'!$G$15</x:f>
        <x:v>12000</x:v>
      </x:c>
      <x:c r="I14" s="28" t="n">
        <x:f>'Assumptions'!$G$15</x:f>
        <x:v>12000</x:v>
      </x:c>
      <x:c r="J14" s="28" t="n">
        <x:f>'Assumptions'!$G$15</x:f>
        <x:v>12000</x:v>
      </x:c>
      <x:c r="K14" s="28" t="n">
        <x:f>'Assumptions'!$G$15</x:f>
        <x:v>12000</x:v>
      </x:c>
      <x:c r="L14" s="28" t="n">
        <x:f>'Assumptions'!$G$15</x:f>
        <x:v>12000</x:v>
      </x:c>
      <x:c r="M14" s="28" t="n">
        <x:f>'Assumptions'!$G$15</x:f>
        <x:v>12000</x:v>
      </x:c>
      <x:c r="N14" s="28" t="n">
        <x:f>'Assumptions'!$G$15</x:f>
        <x:v>12000</x:v>
      </x:c>
      <x:c r="O14" s="28" t="n">
        <x:f>'Assumptions'!$G$15</x:f>
        <x:v>12000</x:v>
      </x:c>
      <x:c r="P14" s="28" t="n">
        <x:f>'Assumptions'!$G$15</x:f>
        <x:v>12000</x:v>
      </x:c>
    </x:row>
    <x:row r="15" ht="22" customHeight="1">
      <x:c r="A15" s="1"/>
      <x:c r="B15" s="1"/>
      <x:c r="C15" s="1" t="str">
        <x:v>Capex</x:v>
      </x:c>
      <x:c r="D15" s="28" t="n">
        <x:f>IF(D$5='Assumptions'!$D$18,'Assumptions'!$G$16,0)</x:f>
        <x:v>0</x:v>
      </x:c>
      <x:c r="E15" s="28" t="n">
        <x:f>IF(E$5='Assumptions'!$D$18,'Assumptions'!$G$16,0)</x:f>
        <x:v>0</x:v>
      </x:c>
      <x:c r="F15" s="28" t="n">
        <x:f>IF(F$5='Assumptions'!$D$18,'Assumptions'!$G$16,0)</x:f>
        <x:v>0</x:v>
      </x:c>
      <x:c r="G15" s="28" t="n">
        <x:f>IF(G$5='Assumptions'!$D$18,'Assumptions'!$G$16,0)</x:f>
        <x:v>0</x:v>
      </x:c>
      <x:c r="H15" s="28" t="n">
        <x:f>IF(H$5='Assumptions'!$D$18,'Assumptions'!$G$16,0)</x:f>
        <x:v>0</x:v>
      </x:c>
      <x:c r="I15" s="28" t="n">
        <x:f>IF(I$5='Assumptions'!$D$18,'Assumptions'!$G$16,0)</x:f>
        <x:v>90000</x:v>
      </x:c>
      <x:c r="J15" s="28" t="n">
        <x:f>IF(J$5='Assumptions'!$D$18,'Assumptions'!$G$16,0)</x:f>
        <x:v>0</x:v>
      </x:c>
      <x:c r="K15" s="28" t="n">
        <x:f>IF(K$5='Assumptions'!$D$18,'Assumptions'!$G$16,0)</x:f>
        <x:v>0</x:v>
      </x:c>
      <x:c r="L15" s="28" t="n">
        <x:f>IF(L$5='Assumptions'!$D$18,'Assumptions'!$G$16,0)</x:f>
        <x:v>0</x:v>
      </x:c>
      <x:c r="M15" s="28" t="n">
        <x:f>IF(M$5='Assumptions'!$D$18,'Assumptions'!$G$16,0)</x:f>
        <x:v>0</x:v>
      </x:c>
      <x:c r="N15" s="28" t="n">
        <x:f>IF(N$5='Assumptions'!$D$18,'Assumptions'!$G$16,0)</x:f>
        <x:v>0</x:v>
      </x:c>
      <x:c r="O15" s="28" t="n">
        <x:f>IF(O$5='Assumptions'!$D$18,'Assumptions'!$G$16,0)</x:f>
        <x:v>0</x:v>
      </x:c>
      <x:c r="P15" s="28" t="n">
        <x:f>IF(P$5='Assumptions'!$D$18,'Assumptions'!$G$16,0)</x:f>
        <x:v>0</x:v>
      </x:c>
    </x:row>
    <x:row r="16" ht="22" customHeight="1">
      <x:c r="A16" s="1"/>
      <x:c r="B16" s="1"/>
      <x:c r="C16" s="1" t="str">
        <x:v>Total payments</x:v>
      </x:c>
      <x:c r="D16" s="29" t="n">
        <x:f>SUM(D11:D15)</x:f>
        <x:v>112000</x:v>
      </x:c>
      <x:c r="E16" s="29" t="n">
        <x:f>SUM(E11:E15)</x:f>
        <x:v>112000</x:v>
      </x:c>
      <x:c r="F16" s="29" t="n">
        <x:f>SUM(F11:F15)</x:f>
        <x:v>112000</x:v>
      </x:c>
      <x:c r="G16" s="29" t="n">
        <x:f>SUM(G11:G15)</x:f>
        <x:v>112000</x:v>
      </x:c>
      <x:c r="H16" s="29" t="n">
        <x:f>SUM(H11:H15)</x:f>
        <x:v>112000</x:v>
      </x:c>
      <x:c r="I16" s="29" t="n">
        <x:f>SUM(I11:I15)</x:f>
        <x:v>202000</x:v>
      </x:c>
      <x:c r="J16" s="29" t="n">
        <x:f>SUM(J11:J15)</x:f>
        <x:v>112000</x:v>
      </x:c>
      <x:c r="K16" s="29" t="n">
        <x:f>SUM(K11:K15)</x:f>
        <x:v>112000</x:v>
      </x:c>
      <x:c r="L16" s="29" t="n">
        <x:f>SUM(L11:L15)</x:f>
        <x:v>112000</x:v>
      </x:c>
      <x:c r="M16" s="29" t="n">
        <x:f>SUM(M11:M15)</x:f>
        <x:v>112000</x:v>
      </x:c>
      <x:c r="N16" s="29" t="n">
        <x:f>SUM(N11:N15)</x:f>
        <x:v>112000</x:v>
      </x:c>
      <x:c r="O16" s="29" t="n">
        <x:f>SUM(O11:O15)</x:f>
        <x:v>112000</x:v>
      </x:c>
      <x:c r="P16" s="29" t="n">
        <x:f>SUM(P11:P15)</x:f>
        <x:v>112000</x:v>
      </x:c>
    </x:row>
    <x:row r="17" ht="22" customHeight="1">
      <x:c r="A17" s="1"/>
      <x:c r="B17" s="1"/>
      <x:c r="C17" s="1" t="str">
        <x:v>Net cash flow</x:v>
      </x:c>
      <x:c r="D17" s="29" t="n">
        <x:f>D10-D16</x:f>
        <x:v>-1000</x:v>
      </x:c>
      <x:c r="E17" s="29" t="n">
        <x:f>E10-E16</x:f>
        <x:v>11000</x:v>
      </x:c>
      <x:c r="F17" s="29" t="n">
        <x:f>F10-F16</x:f>
        <x:v>-1000</x:v>
      </x:c>
      <x:c r="G17" s="29" t="n">
        <x:f>G10-G16</x:f>
        <x:v>11000</x:v>
      </x:c>
      <x:c r="H17" s="29" t="n">
        <x:f>H10-H16</x:f>
        <x:v>-1000</x:v>
      </x:c>
      <x:c r="I17" s="29" t="n">
        <x:f>I10-I16</x:f>
        <x:v>-79000</x:v>
      </x:c>
      <x:c r="J17" s="29" t="n">
        <x:f>J10-J16</x:f>
        <x:v>-1000</x:v>
      </x:c>
      <x:c r="K17" s="29" t="n">
        <x:f>K10-K16</x:f>
        <x:v>11000</x:v>
      </x:c>
      <x:c r="L17" s="29" t="n">
        <x:f>L10-L16</x:f>
        <x:v>-1000</x:v>
      </x:c>
      <x:c r="M17" s="29" t="n">
        <x:f>M10-M16</x:f>
        <x:v>11000</x:v>
      </x:c>
      <x:c r="N17" s="29" t="n">
        <x:f>N10-N16</x:f>
        <x:v>-1000</x:v>
      </x:c>
      <x:c r="O17" s="29" t="n">
        <x:f>O10-O16</x:f>
        <x:v>11000</x:v>
      </x:c>
      <x:c r="P17" s="29" t="n">
        <x:f>P10-P16</x:f>
        <x:v>-1000</x:v>
      </x:c>
    </x:row>
    <x:row r="18" ht="22" customHeight="1">
      <x:c r="A18" s="1"/>
      <x:c r="B18" s="1"/>
      <x:c r="C18" s="1" t="str">
        <x:v>Ending cash before financing</x:v>
      </x:c>
      <x:c r="D18" s="29" t="n">
        <x:f>SUM(D7,D17)</x:f>
        <x:v>179000</x:v>
      </x:c>
      <x:c r="E18" s="29" t="n">
        <x:f>SUM(E7,E17)</x:f>
        <x:v>190000</x:v>
      </x:c>
      <x:c r="F18" s="29" t="n">
        <x:f>SUM(F7,F17)</x:f>
        <x:v>189000</x:v>
      </x:c>
      <x:c r="G18" s="29" t="n">
        <x:f>SUM(G7,G17)</x:f>
        <x:v>200000</x:v>
      </x:c>
      <x:c r="H18" s="29" t="n">
        <x:f>SUM(H7,H17)</x:f>
        <x:v>199000</x:v>
      </x:c>
      <x:c r="I18" s="29" t="n">
        <x:f>SUM(I7,I17)</x:f>
        <x:v>120000</x:v>
      </x:c>
      <x:c r="J18" s="29" t="n">
        <x:f>SUM(J7,J17)</x:f>
        <x:v>119000</x:v>
      </x:c>
      <x:c r="K18" s="29" t="n">
        <x:f>SUM(K7,K17)</x:f>
        <x:v>130000</x:v>
      </x:c>
      <x:c r="L18" s="29" t="n">
        <x:f>SUM(L7,L17)</x:f>
        <x:v>129000</x:v>
      </x:c>
      <x:c r="M18" s="29" t="n">
        <x:f>SUM(M7,M17)</x:f>
        <x:v>140000</x:v>
      </x:c>
      <x:c r="N18" s="29" t="n">
        <x:f>SUM(N7,N17)</x:f>
        <x:v>139000</x:v>
      </x:c>
      <x:c r="O18" s="29" t="n">
        <x:f>SUM(O7,O17)</x:f>
        <x:v>150000</x:v>
      </x:c>
      <x:c r="P18" s="29" t="n">
        <x:f>SUM(P7,P17)</x:f>
        <x:v>149000</x:v>
      </x:c>
    </x:row>
    <x:row r="19" ht="22" customHeight="1">
      <x:c r="A19" s="1"/>
      <x:c r="B19" s="1"/>
      <x:c r="C19" s="1" t="str">
        <x:v>Minimum cash</x:v>
      </x:c>
      <x:c r="D19" s="28" t="n">
        <x:f>'Assumptions'!$G$10</x:f>
        <x:v>100000</x:v>
      </x:c>
      <x:c r="E19" s="28" t="n">
        <x:f>'Assumptions'!$G$10</x:f>
        <x:v>100000</x:v>
      </x:c>
      <x:c r="F19" s="28" t="n">
        <x:f>'Assumptions'!$G$10</x:f>
        <x:v>100000</x:v>
      </x:c>
      <x:c r="G19" s="28" t="n">
        <x:f>'Assumptions'!$G$10</x:f>
        <x:v>100000</x:v>
      </x:c>
      <x:c r="H19" s="28" t="n">
        <x:f>'Assumptions'!$G$10</x:f>
        <x:v>100000</x:v>
      </x:c>
      <x:c r="I19" s="28" t="n">
        <x:f>'Assumptions'!$G$10</x:f>
        <x:v>100000</x:v>
      </x:c>
      <x:c r="J19" s="28" t="n">
        <x:f>'Assumptions'!$G$10</x:f>
        <x:v>100000</x:v>
      </x:c>
      <x:c r="K19" s="28" t="n">
        <x:f>'Assumptions'!$G$10</x:f>
        <x:v>100000</x:v>
      </x:c>
      <x:c r="L19" s="28" t="n">
        <x:f>'Assumptions'!$G$10</x:f>
        <x:v>100000</x:v>
      </x:c>
      <x:c r="M19" s="28" t="n">
        <x:f>'Assumptions'!$G$10</x:f>
        <x:v>100000</x:v>
      </x:c>
      <x:c r="N19" s="28" t="n">
        <x:f>'Assumptions'!$G$10</x:f>
        <x:v>100000</x:v>
      </x:c>
      <x:c r="O19" s="28" t="n">
        <x:f>'Assumptions'!$G$10</x:f>
        <x:v>100000</x:v>
      </x:c>
      <x:c r="P19" s="28" t="n">
        <x:f>'Assumptions'!$G$10</x:f>
        <x:v>100000</x:v>
      </x:c>
    </x:row>
    <x:row r="20" ht="22" customHeight="1">
      <x:c r="A20" s="1"/>
      <x:c r="B20" s="1"/>
      <x:c r="C20" s="1" t="str">
        <x:v>Cumulative funding shortfall</x:v>
      </x:c>
      <x:c r="D20" s="29" t="n">
        <x:f>MAX(0,D19-D18)</x:f>
        <x:v>0</x:v>
      </x:c>
      <x:c r="E20" s="29" t="n">
        <x:f>MAX(0,E19-E18)</x:f>
        <x:v>0</x:v>
      </x:c>
      <x:c r="F20" s="29" t="n">
        <x:f>MAX(0,F19-F18)</x:f>
        <x:v>0</x:v>
      </x:c>
      <x:c r="G20" s="29" t="n">
        <x:f>MAX(0,G19-G18)</x:f>
        <x:v>0</x:v>
      </x:c>
      <x:c r="H20" s="29" t="n">
        <x:f>MAX(0,H19-H18)</x:f>
        <x:v>0</x:v>
      </x:c>
      <x:c r="I20" s="29" t="n">
        <x:f>MAX(0,I19-I18)</x:f>
        <x:v>0</x:v>
      </x:c>
      <x:c r="J20" s="29" t="n">
        <x:f>MAX(0,J19-J18)</x:f>
        <x:v>0</x:v>
      </x:c>
      <x:c r="K20" s="29" t="n">
        <x:f>MAX(0,K19-K18)</x:f>
        <x:v>0</x:v>
      </x:c>
      <x:c r="L20" s="29" t="n">
        <x:f>MAX(0,L19-L18)</x:f>
        <x:v>0</x:v>
      </x:c>
      <x:c r="M20" s="29" t="n">
        <x:f>MAX(0,M19-M18)</x:f>
        <x:v>0</x:v>
      </x:c>
      <x:c r="N20" s="29" t="n">
        <x:f>MAX(0,N19-N18)</x:f>
        <x:v>0</x:v>
      </x:c>
      <x:c r="O20" s="29" t="n">
        <x:f>MAX(0,O19-O18)</x:f>
        <x:v>0</x:v>
      </x:c>
      <x:c r="P20" s="29" t="n">
        <x:f>MAX(0,P19-P18)</x:f>
        <x:v>0</x:v>
      </x:c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2" customHeight="1">
      <x:c r="A23" s="1"/>
      <x:c r="B23" s="1"/>
      <x:c r="C23" s="5" t="str">
        <x:v>Funding shortfall is a requirement, not an assumed available credit line.</x:v>
      </x:c>
      <x:c r="D23" s="5"/>
      <x:c r="E23" s="5"/>
      <x:c r="F23" s="5"/>
      <x:c r="G23" s="5"/>
      <x:c r="H23" s="5"/>
      <x:c r="I23" s="5"/>
      <x:c r="J23" s="5"/>
      <x:c r="K23" s="5"/>
      <x:c r="L23" s="5"/>
      <x:c r="M23" s="1"/>
      <x:c r="N23" s="1"/>
      <x:c r="O23" s="1"/>
      <x:c r="P23" s="1"/>
    </x:row>
    <x:row r="24" ht="22" customHeight="1">
      <x:c r="A24" s="1"/>
      <x:c r="B24" s="1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1"/>
      <x:c r="N24" s="1"/>
      <x:c r="O24" s="1"/>
      <x:c r="P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</x:row>
  </x:sheetData>
  <x:mergeCells>
    <x:mergeCell ref="D4:F4"/>
    <x:mergeCell ref="C23:L24"/>
  </x:mergeCells>
  <x:conditionalFormatting sqref="D18:P18">
    <x:cfRule type="expression" dxfId="0" priority="1">
      <x:formula>D18&lt;D19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4" hidden="0" customWidth="1"/>
    <x:col min="12" max="12" width="24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2" customHeight="1">
      <x:c r="A2" s="1"/>
      <x:c r="B2" s="1"/>
      <x:c r="C2" s="2" t="str">
        <x:v>Synthetic open receivables</x:v>
      </x:c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39.599998474121094" hidden="0" customHeight="1">
      <x:c r="A6" s="1"/>
      <x:c r="B6" s="1"/>
      <x:c r="C6" s="14" t="str">
        <x:v>Invoice ID</x:v>
      </x:c>
      <x:c r="D6" s="14" t="str">
        <x:v>Account</x:v>
      </x:c>
      <x:c r="E6" s="14" t="str">
        <x:v>Base week</x:v>
      </x:c>
      <x:c r="F6" s="14" t="str">
        <x:v>USD amount</x:v>
      </x:c>
      <x:c r="G6" s="14" t="str">
        <x:v>Eligible acceleration</x:v>
      </x:c>
      <x:c r="H6" s="14" t="str">
        <x:v>Active week</x:v>
      </x:c>
      <x:c r="I6" s="14" t="str">
        <x:v>Receipt date</x:v>
      </x:c>
      <x:c r="J6" s="14" t="str">
        <x:v>At-risk aging</x:v>
      </x:c>
      <x:c r="K6" s="23" t="str">
        <x:v>Original due date</x:v>
      </x:c>
      <x:c r="L6" s="23" t="str">
        <x:v>Days past due at 5-Oct</x:v>
      </x:c>
    </x:row>
    <x:row r="7" ht="15" hidden="0" customHeight="1">
      <x:c r="A7" s="1"/>
      <x:c r="B7" s="1"/>
      <x:c r="C7" s="5" t="str">
        <x:v>INV-1001</x:v>
      </x:c>
      <x:c r="D7" s="5" t="str">
        <x:v>Synthetic account 1</x:v>
      </x:c>
      <x:c r="E7" s="5" t="n">
        <x:v>1</x:v>
      </x:c>
      <x:c r="F7" s="18" t="n">
        <x:v>44000</x:v>
      </x:c>
      <x:c r="G7" s="5" t="n">
        <x:v>0</x:v>
      </x:c>
      <x:c r="H7" s="16" t="n">
        <x:f>MAX(1,E7+'Assumptions'!$D$8-G7*'Assumptions'!$D$13)</x:f>
        <x:v>1</x:v>
      </x:c>
      <x:c r="I7" s="19" t="n">
        <x:f>DATE(2026,10,5)+7*(H7-1)</x:f>
        <x:v>46300</x:v>
      </x:c>
      <x:c r="J7" s="5" t="str">
        <x:v>Current at opening</x:v>
      </x:c>
      <x:c r="K7" s="25" t="d">
        <x:v>2026-10-05T00:00:00.000Z</x:v>
      </x:c>
      <x:c r="L7" s="26" t="n">
        <x:f>MAX(0,DATE(2026,10,5)-K7)</x:f>
        <x:v>0</x:v>
      </x:c>
    </x:row>
    <x:row r="8" ht="15" hidden="0" customHeight="1">
      <x:c r="A8" s="1"/>
      <x:c r="B8" s="1"/>
      <x:c r="C8" s="5" t="str">
        <x:v>INV-1002</x:v>
      </x:c>
      <x:c r="D8" s="5" t="str">
        <x:v>Synthetic account 2</x:v>
      </x:c>
      <x:c r="E8" s="5" t="n">
        <x:v>1</x:v>
      </x:c>
      <x:c r="F8" s="18" t="n">
        <x:v>47000</x:v>
      </x:c>
      <x:c r="G8" s="5" t="n">
        <x:v>0</x:v>
      </x:c>
      <x:c r="H8" s="16" t="n">
        <x:f>MAX(1,E8+'Assumptions'!$D$8-G8*'Assumptions'!$D$13)</x:f>
        <x:v>1</x:v>
      </x:c>
      <x:c r="I8" s="19" t="n">
        <x:f>DATE(2026,10,5)+7*(H8-1)</x:f>
        <x:v>46300</x:v>
      </x:c>
      <x:c r="J8" s="5" t="str">
        <x:v>Current at opening</x:v>
      </x:c>
      <x:c r="K8" s="25" t="d">
        <x:v>2026-10-05T00:00:00.000Z</x:v>
      </x:c>
      <x:c r="L8" s="26" t="n">
        <x:f>MAX(0,DATE(2026,10,5)-K8)</x:f>
        <x:v>0</x:v>
      </x:c>
    </x:row>
    <x:row r="9" ht="15" hidden="0" customHeight="1">
      <x:c r="A9" s="1"/>
      <x:c r="B9" s="1"/>
      <x:c r="C9" s="5" t="str">
        <x:v>INV-1003</x:v>
      </x:c>
      <x:c r="D9" s="5" t="str">
        <x:v>Synthetic account 3</x:v>
      </x:c>
      <x:c r="E9" s="5" t="n">
        <x:v>2</x:v>
      </x:c>
      <x:c r="F9" s="18" t="n">
        <x:v>50000</x:v>
      </x:c>
      <x:c r="G9" s="5" t="n">
        <x:v>0</x:v>
      </x:c>
      <x:c r="H9" s="16" t="n">
        <x:f>MAX(1,E9+'Assumptions'!$D$8-G9*'Assumptions'!$D$13)</x:f>
        <x:v>2</x:v>
      </x:c>
      <x:c r="I9" s="19" t="n">
        <x:f>DATE(2026,10,5)+7*(H9-1)</x:f>
        <x:v>46307</x:v>
      </x:c>
      <x:c r="J9" s="5" t="str">
        <x:v>Current at opening</x:v>
      </x:c>
      <x:c r="K9" s="25" t="d">
        <x:v>2026-10-12T00:00:00.000Z</x:v>
      </x:c>
      <x:c r="L9" s="26" t="n">
        <x:f>MAX(0,DATE(2026,10,5)-K9)</x:f>
        <x:v>0</x:v>
      </x:c>
    </x:row>
    <x:row r="10" ht="15" hidden="0" customHeight="1">
      <x:c r="A10" s="1"/>
      <x:c r="B10" s="1"/>
      <x:c r="C10" s="5" t="str">
        <x:v>INV-1004</x:v>
      </x:c>
      <x:c r="D10" s="5" t="str">
        <x:v>Synthetic account 4</x:v>
      </x:c>
      <x:c r="E10" s="5" t="n">
        <x:v>2</x:v>
      </x:c>
      <x:c r="F10" s="18" t="n">
        <x:v>53000</x:v>
      </x:c>
      <x:c r="G10" s="5" t="n">
        <x:v>0</x:v>
      </x:c>
      <x:c r="H10" s="16" t="n">
        <x:f>MAX(1,E10+'Assumptions'!$D$8-G10*'Assumptions'!$D$13)</x:f>
        <x:v>2</x:v>
      </x:c>
      <x:c r="I10" s="19" t="n">
        <x:f>DATE(2026,10,5)+7*(H10-1)</x:f>
        <x:v>46307</x:v>
      </x:c>
      <x:c r="J10" s="5" t="str">
        <x:v>Current at opening</x:v>
      </x:c>
      <x:c r="K10" s="25" t="d">
        <x:v>2026-10-12T00:00:00.000Z</x:v>
      </x:c>
      <x:c r="L10" s="26" t="n">
        <x:f>MAX(0,DATE(2026,10,5)-K10)</x:f>
        <x:v>0</x:v>
      </x:c>
    </x:row>
    <x:row r="11" ht="15" hidden="0" customHeight="1">
      <x:c r="A11" s="1"/>
      <x:c r="B11" s="1"/>
      <x:c r="C11" s="5" t="str">
        <x:v>INV-1005</x:v>
      </x:c>
      <x:c r="D11" s="5" t="str">
        <x:v>Synthetic account 5</x:v>
      </x:c>
      <x:c r="E11" s="5" t="n">
        <x:v>3</x:v>
      </x:c>
      <x:c r="F11" s="18" t="n">
        <x:v>44000</x:v>
      </x:c>
      <x:c r="G11" s="5" t="n">
        <x:v>0</x:v>
      </x:c>
      <x:c r="H11" s="16" t="n">
        <x:f>MAX(1,E11+'Assumptions'!$D$8-G11*'Assumptions'!$D$13)</x:f>
        <x:v>3</x:v>
      </x:c>
      <x:c r="I11" s="19" t="n">
        <x:f>DATE(2026,10,5)+7*(H11-1)</x:f>
        <x:v>46314</x:v>
      </x:c>
      <x:c r="J11" s="5" t="str">
        <x:v>Current at opening</x:v>
      </x:c>
      <x:c r="K11" s="25" t="d">
        <x:v>2026-10-19T00:00:00.000Z</x:v>
      </x:c>
      <x:c r="L11" s="26" t="n">
        <x:f>MAX(0,DATE(2026,10,5)-K11)</x:f>
        <x:v>0</x:v>
      </x:c>
    </x:row>
    <x:row r="12" ht="15" hidden="0" customHeight="1">
      <x:c r="A12" s="1"/>
      <x:c r="B12" s="1"/>
      <x:c r="C12" s="5" t="str">
        <x:v>INV-1006</x:v>
      </x:c>
      <x:c r="D12" s="5" t="str">
        <x:v>Synthetic account 1</x:v>
      </x:c>
      <x:c r="E12" s="5" t="n">
        <x:v>3</x:v>
      </x:c>
      <x:c r="F12" s="18" t="n">
        <x:v>47000</x:v>
      </x:c>
      <x:c r="G12" s="5" t="n">
        <x:v>0</x:v>
      </x:c>
      <x:c r="H12" s="16" t="n">
        <x:f>MAX(1,E12+'Assumptions'!$D$8-G12*'Assumptions'!$D$13)</x:f>
        <x:v>3</x:v>
      </x:c>
      <x:c r="I12" s="19" t="n">
        <x:f>DATE(2026,10,5)+7*(H12-1)</x:f>
        <x:v>46314</x:v>
      </x:c>
      <x:c r="J12" s="5" t="str">
        <x:v>Current at opening</x:v>
      </x:c>
      <x:c r="K12" s="25" t="d">
        <x:v>2026-10-19T00:00:00.000Z</x:v>
      </x:c>
      <x:c r="L12" s="26" t="n">
        <x:f>MAX(0,DATE(2026,10,5)-K12)</x:f>
        <x:v>0</x:v>
      </x:c>
    </x:row>
    <x:row r="13" ht="15" hidden="0" customHeight="1">
      <x:c r="A13" s="1"/>
      <x:c r="B13" s="1"/>
      <x:c r="C13" s="5" t="str">
        <x:v>INV-1007</x:v>
      </x:c>
      <x:c r="D13" s="5" t="str">
        <x:v>Synthetic account 2</x:v>
      </x:c>
      <x:c r="E13" s="5" t="n">
        <x:v>4</x:v>
      </x:c>
      <x:c r="F13" s="18" t="n">
        <x:v>50000</x:v>
      </x:c>
      <x:c r="G13" s="5" t="n">
        <x:v>1</x:v>
      </x:c>
      <x:c r="H13" s="16" t="n">
        <x:f>MAX(1,E13+'Assumptions'!$D$8-G13*'Assumptions'!$D$13)</x:f>
        <x:v>4</x:v>
      </x:c>
      <x:c r="I13" s="19" t="n">
        <x:f>DATE(2026,10,5)+7*(H13-1)</x:f>
        <x:v>46321</x:v>
      </x:c>
      <x:c r="J13" s="5" t="str">
        <x:v>Overdue at opening</x:v>
      </x:c>
      <x:c r="K13" s="25" t="d">
        <x:v>2026-09-21T00:00:00.000Z</x:v>
      </x:c>
      <x:c r="L13" s="26" t="n">
        <x:f>MAX(0,DATE(2026,10,5)-K13)</x:f>
        <x:v>14</x:v>
      </x:c>
    </x:row>
    <x:row r="14" ht="15" hidden="0" customHeight="1">
      <x:c r="A14" s="1"/>
      <x:c r="B14" s="1"/>
      <x:c r="C14" s="5" t="str">
        <x:v>INV-1008</x:v>
      </x:c>
      <x:c r="D14" s="5" t="str">
        <x:v>Synthetic account 3</x:v>
      </x:c>
      <x:c r="E14" s="5" t="n">
        <x:v>4</x:v>
      </x:c>
      <x:c r="F14" s="18" t="n">
        <x:v>53000</x:v>
      </x:c>
      <x:c r="G14" s="5" t="n">
        <x:v>1</x:v>
      </x:c>
      <x:c r="H14" s="16" t="n">
        <x:f>MAX(1,E14+'Assumptions'!$D$8-G14*'Assumptions'!$D$13)</x:f>
        <x:v>4</x:v>
      </x:c>
      <x:c r="I14" s="19" t="n">
        <x:f>DATE(2026,10,5)+7*(H14-1)</x:f>
        <x:v>46321</x:v>
      </x:c>
      <x:c r="J14" s="5" t="str">
        <x:v>Overdue at opening</x:v>
      </x:c>
      <x:c r="K14" s="25" t="d">
        <x:v>2026-09-21T00:00:00.000Z</x:v>
      </x:c>
      <x:c r="L14" s="26" t="n">
        <x:f>MAX(0,DATE(2026,10,5)-K14)</x:f>
        <x:v>14</x:v>
      </x:c>
    </x:row>
    <x:row r="15" ht="15" hidden="0" customHeight="1">
      <x:c r="A15" s="1"/>
      <x:c r="B15" s="1"/>
      <x:c r="C15" s="5" t="str">
        <x:v>INV-1009</x:v>
      </x:c>
      <x:c r="D15" s="5" t="str">
        <x:v>Synthetic account 4</x:v>
      </x:c>
      <x:c r="E15" s="5" t="n">
        <x:v>5</x:v>
      </x:c>
      <x:c r="F15" s="18" t="n">
        <x:v>44000</x:v>
      </x:c>
      <x:c r="G15" s="5" t="n">
        <x:v>1</x:v>
      </x:c>
      <x:c r="H15" s="16" t="n">
        <x:f>MAX(1,E15+'Assumptions'!$D$8-G15*'Assumptions'!$D$13)</x:f>
        <x:v>5</x:v>
      </x:c>
      <x:c r="I15" s="19" t="n">
        <x:f>DATE(2026,10,5)+7*(H15-1)</x:f>
        <x:v>46328</x:v>
      </x:c>
      <x:c r="J15" s="5" t="str">
        <x:v>Overdue at opening</x:v>
      </x:c>
      <x:c r="K15" s="25" t="d">
        <x:v>2026-09-28T00:00:00.000Z</x:v>
      </x:c>
      <x:c r="L15" s="26" t="n">
        <x:f>MAX(0,DATE(2026,10,5)-K15)</x:f>
        <x:v>7</x:v>
      </x:c>
    </x:row>
    <x:row r="16" ht="15" hidden="0" customHeight="1">
      <x:c r="A16" s="1"/>
      <x:c r="B16" s="1"/>
      <x:c r="C16" s="5" t="str">
        <x:v>INV-1010</x:v>
      </x:c>
      <x:c r="D16" s="5" t="str">
        <x:v>Synthetic account 5</x:v>
      </x:c>
      <x:c r="E16" s="5" t="n">
        <x:v>5</x:v>
      </x:c>
      <x:c r="F16" s="18" t="n">
        <x:v>47000</x:v>
      </x:c>
      <x:c r="G16" s="5" t="n">
        <x:v>1</x:v>
      </x:c>
      <x:c r="H16" s="16" t="n">
        <x:f>MAX(1,E16+'Assumptions'!$D$8-G16*'Assumptions'!$D$13)</x:f>
        <x:v>5</x:v>
      </x:c>
      <x:c r="I16" s="19" t="n">
        <x:f>DATE(2026,10,5)+7*(H16-1)</x:f>
        <x:v>46328</x:v>
      </x:c>
      <x:c r="J16" s="5" t="str">
        <x:v>Overdue at opening</x:v>
      </x:c>
      <x:c r="K16" s="25" t="d">
        <x:v>2026-09-28T00:00:00.000Z</x:v>
      </x:c>
      <x:c r="L16" s="26" t="n">
        <x:f>MAX(0,DATE(2026,10,5)-K16)</x:f>
        <x:v>7</x:v>
      </x:c>
    </x:row>
    <x:row r="17" ht="15" hidden="0" customHeight="1">
      <x:c r="A17" s="1"/>
      <x:c r="B17" s="1"/>
      <x:c r="C17" s="5" t="str">
        <x:v>INV-1011</x:v>
      </x:c>
      <x:c r="D17" s="5" t="str">
        <x:v>Synthetic account 1</x:v>
      </x:c>
      <x:c r="E17" s="5" t="n">
        <x:v>6</x:v>
      </x:c>
      <x:c r="F17" s="18" t="n">
        <x:v>50000</x:v>
      </x:c>
      <x:c r="G17" s="5" t="n">
        <x:v>0</x:v>
      </x:c>
      <x:c r="H17" s="16" t="n">
        <x:f>MAX(1,E17+'Assumptions'!$D$8-G17*'Assumptions'!$D$13)</x:f>
        <x:v>6</x:v>
      </x:c>
      <x:c r="I17" s="19" t="n">
        <x:f>DATE(2026,10,5)+7*(H17-1)</x:f>
        <x:v>46335</x:v>
      </x:c>
      <x:c r="J17" s="5" t="str">
        <x:v>Current at opening</x:v>
      </x:c>
      <x:c r="K17" s="25" t="d">
        <x:v>2026-11-09T00:00:00.000Z</x:v>
      </x:c>
      <x:c r="L17" s="26" t="n">
        <x:f>MAX(0,DATE(2026,10,5)-K17)</x:f>
        <x:v>0</x:v>
      </x:c>
    </x:row>
    <x:row r="18" ht="15" hidden="0" customHeight="1">
      <x:c r="A18" s="1"/>
      <x:c r="B18" s="1"/>
      <x:c r="C18" s="5" t="str">
        <x:v>INV-1012</x:v>
      </x:c>
      <x:c r="D18" s="5" t="str">
        <x:v>Synthetic account 2</x:v>
      </x:c>
      <x:c r="E18" s="5" t="n">
        <x:v>6</x:v>
      </x:c>
      <x:c r="F18" s="18" t="n">
        <x:v>53000</x:v>
      </x:c>
      <x:c r="G18" s="5" t="n">
        <x:v>0</x:v>
      </x:c>
      <x:c r="H18" s="16" t="n">
        <x:f>MAX(1,E18+'Assumptions'!$D$8-G18*'Assumptions'!$D$13)</x:f>
        <x:v>6</x:v>
      </x:c>
      <x:c r="I18" s="19" t="n">
        <x:f>DATE(2026,10,5)+7*(H18-1)</x:f>
        <x:v>46335</x:v>
      </x:c>
      <x:c r="J18" s="5" t="str">
        <x:v>Current at opening</x:v>
      </x:c>
      <x:c r="K18" s="25" t="d">
        <x:v>2026-11-09T00:00:00.000Z</x:v>
      </x:c>
      <x:c r="L18" s="26" t="n">
        <x:f>MAX(0,DATE(2026,10,5)-K18)</x:f>
        <x:v>0</x:v>
      </x:c>
    </x:row>
    <x:row r="19" ht="15" hidden="0" customHeight="1">
      <x:c r="A19" s="1"/>
      <x:c r="B19" s="1"/>
      <x:c r="C19" s="5" t="str">
        <x:v>INV-1013</x:v>
      </x:c>
      <x:c r="D19" s="5" t="str">
        <x:v>Synthetic account 3</x:v>
      </x:c>
      <x:c r="E19" s="5" t="n">
        <x:v>7</x:v>
      </x:c>
      <x:c r="F19" s="18" t="n">
        <x:v>44000</x:v>
      </x:c>
      <x:c r="G19" s="5" t="n">
        <x:v>0</x:v>
      </x:c>
      <x:c r="H19" s="16" t="n">
        <x:f>MAX(1,E19+'Assumptions'!$D$8-G19*'Assumptions'!$D$13)</x:f>
        <x:v>7</x:v>
      </x:c>
      <x:c r="I19" s="19" t="n">
        <x:f>DATE(2026,10,5)+7*(H19-1)</x:f>
        <x:v>46342</x:v>
      </x:c>
      <x:c r="J19" s="5" t="str">
        <x:v>Current at opening</x:v>
      </x:c>
      <x:c r="K19" s="25" t="d">
        <x:v>2026-11-16T00:00:00.000Z</x:v>
      </x:c>
      <x:c r="L19" s="26" t="n">
        <x:f>MAX(0,DATE(2026,10,5)-K19)</x:f>
        <x:v>0</x:v>
      </x:c>
    </x:row>
    <x:row r="20" ht="15" hidden="0" customHeight="1">
      <x:c r="A20" s="1"/>
      <x:c r="B20" s="1"/>
      <x:c r="C20" s="5" t="str">
        <x:v>INV-1014</x:v>
      </x:c>
      <x:c r="D20" s="5" t="str">
        <x:v>Synthetic account 4</x:v>
      </x:c>
      <x:c r="E20" s="5" t="n">
        <x:v>7</x:v>
      </x:c>
      <x:c r="F20" s="18" t="n">
        <x:v>47000</x:v>
      </x:c>
      <x:c r="G20" s="5" t="n">
        <x:v>0</x:v>
      </x:c>
      <x:c r="H20" s="16" t="n">
        <x:f>MAX(1,E20+'Assumptions'!$D$8-G20*'Assumptions'!$D$13)</x:f>
        <x:v>7</x:v>
      </x:c>
      <x:c r="I20" s="19" t="n">
        <x:f>DATE(2026,10,5)+7*(H20-1)</x:f>
        <x:v>46342</x:v>
      </x:c>
      <x:c r="J20" s="5" t="str">
        <x:v>Current at opening</x:v>
      </x:c>
      <x:c r="K20" s="25" t="d">
        <x:v>2026-11-16T00:00:00.000Z</x:v>
      </x:c>
      <x:c r="L20" s="26" t="n">
        <x:f>MAX(0,DATE(2026,10,5)-K20)</x:f>
        <x:v>0</x:v>
      </x:c>
    </x:row>
    <x:row r="21" ht="15" hidden="0" customHeight="1">
      <x:c r="A21" s="1"/>
      <x:c r="B21" s="1"/>
      <x:c r="C21" s="5" t="str">
        <x:v>INV-1015</x:v>
      </x:c>
      <x:c r="D21" s="5" t="str">
        <x:v>Synthetic account 5</x:v>
      </x:c>
      <x:c r="E21" s="5" t="n">
        <x:v>8</x:v>
      </x:c>
      <x:c r="F21" s="18" t="n">
        <x:v>50000</x:v>
      </x:c>
      <x:c r="G21" s="5" t="n">
        <x:v>0</x:v>
      </x:c>
      <x:c r="H21" s="16" t="n">
        <x:f>MAX(1,E21+'Assumptions'!$D$8-G21*'Assumptions'!$D$13)</x:f>
        <x:v>8</x:v>
      </x:c>
      <x:c r="I21" s="19" t="n">
        <x:f>DATE(2026,10,5)+7*(H21-1)</x:f>
        <x:v>46349</x:v>
      </x:c>
      <x:c r="J21" s="5" t="str">
        <x:v>Current at opening</x:v>
      </x:c>
      <x:c r="K21" s="25" t="d">
        <x:v>2026-11-23T00:00:00.000Z</x:v>
      </x:c>
      <x:c r="L21" s="26" t="n">
        <x:f>MAX(0,DATE(2026,10,5)-K21)</x:f>
        <x:v>0</x:v>
      </x:c>
    </x:row>
    <x:row r="22" ht="15" hidden="0" customHeight="1">
      <x:c r="A22" s="1"/>
      <x:c r="B22" s="1"/>
      <x:c r="C22" s="5" t="str">
        <x:v>INV-1016</x:v>
      </x:c>
      <x:c r="D22" s="5" t="str">
        <x:v>Synthetic account 1</x:v>
      </x:c>
      <x:c r="E22" s="5" t="n">
        <x:v>8</x:v>
      </x:c>
      <x:c r="F22" s="18" t="n">
        <x:v>53000</x:v>
      </x:c>
      <x:c r="G22" s="5" t="n">
        <x:v>0</x:v>
      </x:c>
      <x:c r="H22" s="16" t="n">
        <x:f>MAX(1,E22+'Assumptions'!$D$8-G22*'Assumptions'!$D$13)</x:f>
        <x:v>8</x:v>
      </x:c>
      <x:c r="I22" s="19" t="n">
        <x:f>DATE(2026,10,5)+7*(H22-1)</x:f>
        <x:v>46349</x:v>
      </x:c>
      <x:c r="J22" s="5" t="str">
        <x:v>Current at opening</x:v>
      </x:c>
      <x:c r="K22" s="25" t="d">
        <x:v>2026-11-23T00:00:00.000Z</x:v>
      </x:c>
      <x:c r="L22" s="26" t="n">
        <x:f>MAX(0,DATE(2026,10,5)-K22)</x:f>
        <x:v>0</x:v>
      </x:c>
    </x:row>
    <x:row r="23" ht="15" hidden="0" customHeight="1">
      <x:c r="A23" s="1"/>
      <x:c r="B23" s="1"/>
      <x:c r="C23" s="5" t="str">
        <x:v>INV-1017</x:v>
      </x:c>
      <x:c r="D23" s="5" t="str">
        <x:v>Synthetic account 2</x:v>
      </x:c>
      <x:c r="E23" s="5" t="n">
        <x:v>9</x:v>
      </x:c>
      <x:c r="F23" s="18" t="n">
        <x:v>44000</x:v>
      </x:c>
      <x:c r="G23" s="5" t="n">
        <x:v>0</x:v>
      </x:c>
      <x:c r="H23" s="16" t="n">
        <x:f>MAX(1,E23+'Assumptions'!$D$8-G23*'Assumptions'!$D$13)</x:f>
        <x:v>9</x:v>
      </x:c>
      <x:c r="I23" s="19" t="n">
        <x:f>DATE(2026,10,5)+7*(H23-1)</x:f>
        <x:v>46356</x:v>
      </x:c>
      <x:c r="J23" s="5" t="str">
        <x:v>Current at opening</x:v>
      </x:c>
      <x:c r="K23" s="25" t="d">
        <x:v>2026-11-30T00:00:00.000Z</x:v>
      </x:c>
      <x:c r="L23" s="26" t="n">
        <x:f>MAX(0,DATE(2026,10,5)-K23)</x:f>
        <x:v>0</x:v>
      </x:c>
    </x:row>
    <x:row r="24" ht="15" hidden="0" customHeight="1">
      <x:c r="A24" s="1"/>
      <x:c r="B24" s="1"/>
      <x:c r="C24" s="5" t="str">
        <x:v>INV-1018</x:v>
      </x:c>
      <x:c r="D24" s="5" t="str">
        <x:v>Synthetic account 3</x:v>
      </x:c>
      <x:c r="E24" s="5" t="n">
        <x:v>9</x:v>
      </x:c>
      <x:c r="F24" s="18" t="n">
        <x:v>47000</x:v>
      </x:c>
      <x:c r="G24" s="5" t="n">
        <x:v>0</x:v>
      </x:c>
      <x:c r="H24" s="16" t="n">
        <x:f>MAX(1,E24+'Assumptions'!$D$8-G24*'Assumptions'!$D$13)</x:f>
        <x:v>9</x:v>
      </x:c>
      <x:c r="I24" s="19" t="n">
        <x:f>DATE(2026,10,5)+7*(H24-1)</x:f>
        <x:v>46356</x:v>
      </x:c>
      <x:c r="J24" s="5" t="str">
        <x:v>Current at opening</x:v>
      </x:c>
      <x:c r="K24" s="25" t="d">
        <x:v>2026-11-30T00:00:00.000Z</x:v>
      </x:c>
      <x:c r="L24" s="26" t="n">
        <x:f>MAX(0,DATE(2026,10,5)-K24)</x:f>
        <x:v>0</x:v>
      </x:c>
    </x:row>
    <x:row r="25" ht="15" hidden="0" customHeight="1">
      <x:c r="A25" s="1"/>
      <x:c r="B25" s="1"/>
      <x:c r="C25" s="5" t="str">
        <x:v>INV-1019</x:v>
      </x:c>
      <x:c r="D25" s="5" t="str">
        <x:v>Synthetic account 4</x:v>
      </x:c>
      <x:c r="E25" s="5" t="n">
        <x:v>10</x:v>
      </x:c>
      <x:c r="F25" s="18" t="n">
        <x:v>50000</x:v>
      </x:c>
      <x:c r="G25" s="5" t="n">
        <x:v>0</x:v>
      </x:c>
      <x:c r="H25" s="16" t="n">
        <x:f>MAX(1,E25+'Assumptions'!$D$8-G25*'Assumptions'!$D$13)</x:f>
        <x:v>10</x:v>
      </x:c>
      <x:c r="I25" s="19" t="n">
        <x:f>DATE(2026,10,5)+7*(H25-1)</x:f>
        <x:v>46363</x:v>
      </x:c>
      <x:c r="J25" s="5" t="str">
        <x:v>Current at opening</x:v>
      </x:c>
      <x:c r="K25" s="25" t="d">
        <x:v>2026-12-07T00:00:00.000Z</x:v>
      </x:c>
      <x:c r="L25" s="26" t="n">
        <x:f>MAX(0,DATE(2026,10,5)-K25)</x:f>
        <x:v>0</x:v>
      </x:c>
    </x:row>
    <x:row r="26" ht="15" hidden="0" customHeight="1">
      <x:c r="A26" s="1"/>
      <x:c r="B26" s="1"/>
      <x:c r="C26" s="5" t="str">
        <x:v>INV-1020</x:v>
      </x:c>
      <x:c r="D26" s="5" t="str">
        <x:v>Synthetic account 5</x:v>
      </x:c>
      <x:c r="E26" s="5" t="n">
        <x:v>10</x:v>
      </x:c>
      <x:c r="F26" s="18" t="n">
        <x:v>53000</x:v>
      </x:c>
      <x:c r="G26" s="5" t="n">
        <x:v>0</x:v>
      </x:c>
      <x:c r="H26" s="16" t="n">
        <x:f>MAX(1,E26+'Assumptions'!$D$8-G26*'Assumptions'!$D$13)</x:f>
        <x:v>10</x:v>
      </x:c>
      <x:c r="I26" s="19" t="n">
        <x:f>DATE(2026,10,5)+7*(H26-1)</x:f>
        <x:v>46363</x:v>
      </x:c>
      <x:c r="J26" s="5" t="str">
        <x:v>Current at opening</x:v>
      </x:c>
      <x:c r="K26" s="25" t="d">
        <x:v>2026-12-07T00:00:00.000Z</x:v>
      </x:c>
      <x:c r="L26" s="26" t="n">
        <x:f>MAX(0,DATE(2026,10,5)-K26)</x:f>
        <x:v>0</x:v>
      </x:c>
    </x:row>
    <x:row r="27" ht="15" hidden="0" customHeight="1">
      <x:c r="A27" s="1"/>
      <x:c r="B27" s="1"/>
      <x:c r="C27" s="5" t="str">
        <x:v>INV-1021</x:v>
      </x:c>
      <x:c r="D27" s="5" t="str">
        <x:v>Synthetic account 1</x:v>
      </x:c>
      <x:c r="E27" s="5" t="n">
        <x:v>11</x:v>
      </x:c>
      <x:c r="F27" s="18" t="n">
        <x:v>44000</x:v>
      </x:c>
      <x:c r="G27" s="5" t="n">
        <x:v>0</x:v>
      </x:c>
      <x:c r="H27" s="16" t="n">
        <x:f>MAX(1,E27+'Assumptions'!$D$8-G27*'Assumptions'!$D$13)</x:f>
        <x:v>11</x:v>
      </x:c>
      <x:c r="I27" s="19" t="n">
        <x:f>DATE(2026,10,5)+7*(H27-1)</x:f>
        <x:v>46370</x:v>
      </x:c>
      <x:c r="J27" s="5" t="str">
        <x:v>Current at opening</x:v>
      </x:c>
      <x:c r="K27" s="25" t="d">
        <x:v>2026-12-14T00:00:00.000Z</x:v>
      </x:c>
      <x:c r="L27" s="26" t="n">
        <x:f>MAX(0,DATE(2026,10,5)-K27)</x:f>
        <x:v>0</x:v>
      </x:c>
    </x:row>
    <x:row r="28" ht="15" hidden="0" customHeight="1">
      <x:c r="A28" s="1"/>
      <x:c r="B28" s="1"/>
      <x:c r="C28" s="5" t="str">
        <x:v>INV-1022</x:v>
      </x:c>
      <x:c r="D28" s="5" t="str">
        <x:v>Synthetic account 2</x:v>
      </x:c>
      <x:c r="E28" s="5" t="n">
        <x:v>11</x:v>
      </x:c>
      <x:c r="F28" s="18" t="n">
        <x:v>47000</x:v>
      </x:c>
      <x:c r="G28" s="5" t="n">
        <x:v>0</x:v>
      </x:c>
      <x:c r="H28" s="16" t="n">
        <x:f>MAX(1,E28+'Assumptions'!$D$8-G28*'Assumptions'!$D$13)</x:f>
        <x:v>11</x:v>
      </x:c>
      <x:c r="I28" s="19" t="n">
        <x:f>DATE(2026,10,5)+7*(H28-1)</x:f>
        <x:v>46370</x:v>
      </x:c>
      <x:c r="J28" s="5" t="str">
        <x:v>Current at opening</x:v>
      </x:c>
      <x:c r="K28" s="25" t="d">
        <x:v>2026-12-14T00:00:00.000Z</x:v>
      </x:c>
      <x:c r="L28" s="26" t="n">
        <x:f>MAX(0,DATE(2026,10,5)-K28)</x:f>
        <x:v>0</x:v>
      </x:c>
    </x:row>
    <x:row r="29" ht="15" hidden="0" customHeight="1">
      <x:c r="A29" s="1"/>
      <x:c r="B29" s="1"/>
      <x:c r="C29" s="5" t="str">
        <x:v>INV-1023</x:v>
      </x:c>
      <x:c r="D29" s="5" t="str">
        <x:v>Synthetic account 3</x:v>
      </x:c>
      <x:c r="E29" s="5" t="n">
        <x:v>12</x:v>
      </x:c>
      <x:c r="F29" s="18" t="n">
        <x:v>50000</x:v>
      </x:c>
      <x:c r="G29" s="5" t="n">
        <x:v>0</x:v>
      </x:c>
      <x:c r="H29" s="16" t="n">
        <x:f>MAX(1,E29+'Assumptions'!$D$8-G29*'Assumptions'!$D$13)</x:f>
        <x:v>12</x:v>
      </x:c>
      <x:c r="I29" s="19" t="n">
        <x:f>DATE(2026,10,5)+7*(H29-1)</x:f>
        <x:v>46377</x:v>
      </x:c>
      <x:c r="J29" s="5" t="str">
        <x:v>Current at opening</x:v>
      </x:c>
      <x:c r="K29" s="25" t="d">
        <x:v>2026-12-21T00:00:00.000Z</x:v>
      </x:c>
      <x:c r="L29" s="26" t="n">
        <x:f>MAX(0,DATE(2026,10,5)-K29)</x:f>
        <x:v>0</x:v>
      </x:c>
    </x:row>
    <x:row r="30" ht="15" hidden="0" customHeight="1">
      <x:c r="A30" s="1"/>
      <x:c r="B30" s="1"/>
      <x:c r="C30" s="5" t="str">
        <x:v>INV-1024</x:v>
      </x:c>
      <x:c r="D30" s="5" t="str">
        <x:v>Synthetic account 4</x:v>
      </x:c>
      <x:c r="E30" s="5" t="n">
        <x:v>12</x:v>
      </x:c>
      <x:c r="F30" s="18" t="n">
        <x:v>53000</x:v>
      </x:c>
      <x:c r="G30" s="5" t="n">
        <x:v>0</x:v>
      </x:c>
      <x:c r="H30" s="16" t="n">
        <x:f>MAX(1,E30+'Assumptions'!$D$8-G30*'Assumptions'!$D$13)</x:f>
        <x:v>12</x:v>
      </x:c>
      <x:c r="I30" s="19" t="n">
        <x:f>DATE(2026,10,5)+7*(H30-1)</x:f>
        <x:v>46377</x:v>
      </x:c>
      <x:c r="J30" s="5" t="str">
        <x:v>Current at opening</x:v>
      </x:c>
      <x:c r="K30" s="25" t="d">
        <x:v>2026-12-21T00:00:00.000Z</x:v>
      </x:c>
      <x:c r="L30" s="26" t="n">
        <x:f>MAX(0,DATE(2026,10,5)-K30)</x:f>
        <x:v>0</x:v>
      </x:c>
    </x:row>
    <x:row r="31" ht="15" hidden="0" customHeight="1">
      <x:c r="A31" s="1"/>
      <x:c r="B31" s="1"/>
      <x:c r="C31" s="5" t="str">
        <x:v>INV-1025</x:v>
      </x:c>
      <x:c r="D31" s="5" t="str">
        <x:v>Synthetic account 5</x:v>
      </x:c>
      <x:c r="E31" s="5" t="n">
        <x:v>13</x:v>
      </x:c>
      <x:c r="F31" s="18" t="n">
        <x:v>44000</x:v>
      </x:c>
      <x:c r="G31" s="5" t="n">
        <x:v>0</x:v>
      </x:c>
      <x:c r="H31" s="16" t="n">
        <x:f>MAX(1,E31+'Assumptions'!$D$8-G31*'Assumptions'!$D$13)</x:f>
        <x:v>13</x:v>
      </x:c>
      <x:c r="I31" s="19" t="n">
        <x:f>DATE(2026,10,5)+7*(H31-1)</x:f>
        <x:v>46384</x:v>
      </x:c>
      <x:c r="J31" s="5" t="str">
        <x:v>Current at opening</x:v>
      </x:c>
      <x:c r="K31" s="25" t="d">
        <x:v>2026-12-28T00:00:00.000Z</x:v>
      </x:c>
      <x:c r="L31" s="26" t="n">
        <x:f>MAX(0,DATE(2026,10,5)-K31)</x:f>
        <x:v>0</x:v>
      </x:c>
    </x:row>
    <x:row r="32" ht="15" hidden="0" customHeight="1">
      <x:c r="A32" s="1"/>
      <x:c r="B32" s="1"/>
      <x:c r="C32" s="5" t="str">
        <x:v>INV-1026</x:v>
      </x:c>
      <x:c r="D32" s="5" t="str">
        <x:v>Synthetic account 1</x:v>
      </x:c>
      <x:c r="E32" s="5" t="n">
        <x:v>13</x:v>
      </x:c>
      <x:c r="F32" s="18" t="n">
        <x:v>47000</x:v>
      </x:c>
      <x:c r="G32" s="5" t="n">
        <x:v>0</x:v>
      </x:c>
      <x:c r="H32" s="16" t="n">
        <x:f>MAX(1,E32+'Assumptions'!$D$8-G32*'Assumptions'!$D$13)</x:f>
        <x:v>13</x:v>
      </x:c>
      <x:c r="I32" s="19" t="n">
        <x:f>DATE(2026,10,5)+7*(H32-1)</x:f>
        <x:v>46384</x:v>
      </x:c>
      <x:c r="J32" s="5" t="str">
        <x:v>Current at opening</x:v>
      </x:c>
      <x:c r="K32" s="25" t="d">
        <x:v>2026-12-28T00:00:00.000Z</x:v>
      </x:c>
      <x:c r="L32" s="26" t="n">
        <x:f>MAX(0,DATE(2026,10,5)-K32)</x:f>
        <x:v>0</x:v>
      </x:c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22" customHeight="1">
      <x:c r="A35" s="1"/>
      <x:c r="B35" s="1"/>
      <x:c r="C35" s="5" t="str">
        <x:v>All 26 invoices are open at forecast start. Eligible invoices need collection consent.</x:v>
      </x:c>
      <x:c r="D35" s="5"/>
      <x:c r="E35" s="5"/>
      <x:c r="F35" s="5"/>
      <x:c r="G35" s="5"/>
      <x:c r="H35" s="5"/>
      <x:c r="I35" s="5"/>
      <x:c r="J35" s="5"/>
      <x:c r="K35" s="20"/>
    </x:row>
    <x:row r="36" ht="22" customHeight="1">
      <x:c r="A36" s="1"/>
      <x:c r="B36" s="1"/>
      <x:c r="C36" s="5"/>
      <x:c r="D36" s="5"/>
      <x:c r="E36" s="5"/>
      <x:c r="F36" s="5"/>
      <x:c r="G36" s="5"/>
      <x:c r="H36" s="5"/>
      <x:c r="I36" s="5"/>
      <x:c r="J36" s="5"/>
      <x:c r="K36" s="20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</x:sheetData>
  <x:mergeCells>
    <x:mergeCell ref="D4:F4"/>
    <x:mergeCell ref="C35:K3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Simulated four-week forecast review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Week</x:v>
      </x:c>
      <x:c r="D6" s="14" t="str">
        <x:v>Baseline receipts</x:v>
      </x:c>
      <x:c r="E6" s="14" t="str">
        <x:v>Simulated receipts</x:v>
      </x:c>
      <x:c r="F6" s="14" t="str">
        <x:v>Receipt variance</x:v>
      </x:c>
      <x:c r="G6" s="14" t="str">
        <x:v>Baseline payments</x:v>
      </x:c>
      <x:c r="H6" s="14" t="str">
        <x:v>Simulated payments</x:v>
      </x:c>
      <x:c r="I6" s="14" t="str">
        <x:v>Payment variance</x:v>
      </x:c>
      <x:c r="J6" s="14" t="str">
        <x:v>Net cash variance</x:v>
      </x:c>
      <x:c r="K6" s="1"/>
      <x:c r="L6" s="1"/>
    </x:row>
    <x:row r="7" ht="15" hidden="0" customHeight="1">
      <x:c r="A7" s="1"/>
      <x:c r="B7" s="1"/>
      <x:c r="C7" s="5" t="n">
        <x:v>1</x:v>
      </x:c>
      <x:c r="D7" s="31" t="n">
        <x:v>111000</x:v>
      </x:c>
      <x:c r="E7" s="31" t="n">
        <x:v>101000</x:v>
      </x:c>
      <x:c r="F7" s="32" t="n">
        <x:f>E7-D7</x:f>
        <x:v>-10000</x:v>
      </x:c>
      <x:c r="G7" s="31" t="n">
        <x:v>112000</x:v>
      </x:c>
      <x:c r="H7" s="31" t="n">
        <x:v>114000</x:v>
      </x:c>
      <x:c r="I7" s="32" t="n">
        <x:f>H7-G7</x:f>
        <x:v>2000</x:v>
      </x:c>
      <x:c r="J7" s="32" t="n">
        <x:f>F7-I7</x:f>
        <x:v>-12000</x:v>
      </x:c>
      <x:c r="K7" s="1"/>
      <x:c r="L7" s="1"/>
    </x:row>
    <x:row r="8" ht="15" hidden="0" customHeight="1">
      <x:c r="A8" s="1"/>
      <x:c r="B8" s="1"/>
      <x:c r="C8" s="5" t="n">
        <x:v>2</x:v>
      </x:c>
      <x:c r="D8" s="31" t="n">
        <x:v>123000</x:v>
      </x:c>
      <x:c r="E8" s="31" t="n">
        <x:v>128000</x:v>
      </x:c>
      <x:c r="F8" s="32" t="n">
        <x:f>E8-D8</x:f>
        <x:v>5000</x:v>
      </x:c>
      <x:c r="G8" s="31" t="n">
        <x:v>112000</x:v>
      </x:c>
      <x:c r="H8" s="31" t="n">
        <x:v>111000</x:v>
      </x:c>
      <x:c r="I8" s="32" t="n">
        <x:f>H8-G8</x:f>
        <x:v>-1000</x:v>
      </x:c>
      <x:c r="J8" s="32" t="n">
        <x:f>F8-I8</x:f>
        <x:v>6000</x:v>
      </x:c>
      <x:c r="K8" s="1"/>
      <x:c r="L8" s="1"/>
    </x:row>
    <x:row r="9" ht="15" hidden="0" customHeight="1">
      <x:c r="A9" s="1"/>
      <x:c r="B9" s="1"/>
      <x:c r="C9" s="5" t="n">
        <x:v>3</x:v>
      </x:c>
      <x:c r="D9" s="31" t="n">
        <x:v>111000</x:v>
      </x:c>
      <x:c r="E9" s="31" t="n">
        <x:v>111000</x:v>
      </x:c>
      <x:c r="F9" s="32" t="n">
        <x:f>E9-D9</x:f>
        <x:v>0</x:v>
      </x:c>
      <x:c r="G9" s="31" t="n">
        <x:v>112000</x:v>
      </x:c>
      <x:c r="H9" s="31" t="n">
        <x:v>112000</x:v>
      </x:c>
      <x:c r="I9" s="32" t="n">
        <x:f>H9-G9</x:f>
        <x:v>0</x:v>
      </x:c>
      <x:c r="J9" s="32" t="n">
        <x:f>F9-I9</x:f>
        <x:v>0</x:v>
      </x:c>
      <x:c r="K9" s="1"/>
      <x:c r="L9" s="1"/>
    </x:row>
    <x:row r="10" ht="15" hidden="0" customHeight="1">
      <x:c r="A10" s="1"/>
      <x:c r="B10" s="1"/>
      <x:c r="C10" s="5" t="n">
        <x:v>4</x:v>
      </x:c>
      <x:c r="D10" s="31" t="n">
        <x:v>123000</x:v>
      </x:c>
      <x:c r="E10" s="31" t="n">
        <x:v>118000</x:v>
      </x:c>
      <x:c r="F10" s="32" t="n">
        <x:f>E10-D10</x:f>
        <x:v>-5000</x:v>
      </x:c>
      <x:c r="G10" s="31" t="n">
        <x:v>112000</x:v>
      </x:c>
      <x:c r="H10" s="31" t="n">
        <x:v>113000</x:v>
      </x:c>
      <x:c r="I10" s="32" t="n">
        <x:f>H10-G10</x:f>
        <x:v>1000</x:v>
      </x:c>
      <x:c r="J10" s="32" t="n">
        <x:f>F10-I10</x:f>
        <x:v>-6000</x:v>
      </x:c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5" t="str">
        <x:v>Frozen baseline, simulated observations. Review is not tied to active case.</x:v>
      </x:c>
      <x:c r="D13" s="5"/>
      <x:c r="E13" s="5"/>
      <x:c r="F13" s="5"/>
      <x:c r="G13" s="5"/>
      <x:c r="H13" s="5"/>
      <x:c r="I13" s="5"/>
      <x:c r="J13" s="5"/>
      <x:c r="K13" s="5"/>
      <x:c r="L13" s="5"/>
    </x:row>
    <x:row r="14" ht="22" customHeight="1">
      <x:c r="A14" s="1"/>
      <x:c r="B14" s="1"/>
      <x:c r="C14" s="5"/>
      <x:c r="D14" s="5"/>
      <x:c r="E14" s="5"/>
      <x:c r="F14" s="5"/>
      <x:c r="G14" s="5"/>
      <x:c r="H14" s="5"/>
      <x:c r="I14" s="5"/>
      <x:c r="J14" s="5"/>
      <x:c r="K14" s="5"/>
      <x:c r="L14" s="5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 t="str">
        <x:v>Net cash variance</x:v>
      </x:c>
      <x:c r="D17" s="6" t="n">
        <x:f>SUM(J7:J10)</x:f>
        <x:v>-12000</x:v>
      </x:c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 t="str">
        <x:v>Absolute receipt error / baseline receipts</x:v>
      </x:c>
      <x:c r="D18" s="33" t="n">
        <x:f>(ABS(F7)+ABS(F8)+ABS(F9)+ABS(F10))/SUM(D7:D10)</x:f>
        <x:v>0.042735042735042736</x:v>
      </x:c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D4:F4"/>
    <x:mergeCell ref="C13:L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Decision ownership and approval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Roles and deadlines are proposed within a synthetic case.</x:v>
      </x:c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Action</x:v>
      </x:c>
      <x:c r="D6" s="14" t="str">
        <x:v>Proposed owner</x:v>
      </x:c>
      <x:c r="E6" s="14" t="str">
        <x:v>Due from approval</x:v>
      </x:c>
      <x:c r="F6" s="14" t="str">
        <x:v>Trigger / evidence</x:v>
      </x:c>
      <x:c r="G6" s="14" t="str">
        <x:v>Approval needed</x:v>
      </x:c>
      <x:c r="H6" s="14" t="str">
        <x:v>Status</x:v>
      </x:c>
      <x:c r="I6" s="14" t="str">
        <x:v>Evidence link</x:v>
      </x:c>
      <x:c r="J6" s="1"/>
      <x:c r="K6" s="1"/>
      <x:c r="L6" s="1"/>
    </x:row>
    <x:row r="7" ht="26.399999618530273" hidden="0" customHeight="1">
      <x:c r="A7" s="1"/>
      <x:c r="B7" s="1"/>
      <x:c r="C7" s="5" t="str">
        <x:v>Verify bank and invoice opening balances</x:v>
      </x:c>
      <x:c r="D7" s="5" t="str">
        <x:v>Treasury + AR</x:v>
      </x:c>
      <x:c r="E7" s="5" t="str">
        <x:v>Day 1</x:v>
      </x:c>
      <x:c r="F7" s="5" t="str">
        <x:v>Opening bank / AR reconciled</x:v>
      </x:c>
      <x:c r="G7" s="5" t="str">
        <x:v>Treasury lead</x:v>
      </x:c>
      <x:c r="H7" s="5" t="str">
        <x:v>Proposed</x:v>
      </x:c>
      <x:c r="I7" s="5" t="str"/>
      <x:c r="J7" s="1"/>
      <x:c r="K7" s="1"/>
      <x:c r="L7" s="1"/>
    </x:row>
    <x:row r="8" ht="26.399999618530273" hidden="0" customHeight="1">
      <x:c r="A8" s="1"/>
      <x:c r="B8" s="1"/>
      <x:c r="C8" s="5" t="str">
        <x:v>Collect eligible overdue invoices</x:v>
      </x:c>
      <x:c r="D8" s="5" t="str">
        <x:v>AR + Account lead</x:v>
      </x:c>
      <x:c r="E8" s="5" t="str">
        <x:v>Week 2</x:v>
      </x:c>
      <x:c r="F8" s="5" t="str">
        <x:v>Customer consent and cash receipt</x:v>
      </x:c>
      <x:c r="G8" s="5" t="str">
        <x:v>Credit lead</x:v>
      </x:c>
      <x:c r="H8" s="5" t="str">
        <x:v>Proposed</x:v>
      </x:c>
      <x:c r="I8" s="5" t="str"/>
      <x:c r="J8" s="1"/>
      <x:c r="K8" s="1"/>
      <x:c r="L8" s="1"/>
    </x:row>
    <x:row r="9" ht="26.399999618530273" hidden="0" customHeight="1">
      <x:c r="A9" s="1"/>
      <x:c r="B9" s="1"/>
      <x:c r="C9" s="5" t="str">
        <x:v>Review capex timing</x:v>
      </x:c>
      <x:c r="D9" s="5" t="str">
        <x:v>Operations + Finance</x:v>
      </x:c>
      <x:c r="E9" s="5" t="str">
        <x:v>Before week 6</x:v>
      </x:c>
      <x:c r="F9" s="5" t="str">
        <x:v>Operational impact of deferral</x:v>
      </x:c>
      <x:c r="G9" s="5" t="str">
        <x:v>Finance lead</x:v>
      </x:c>
      <x:c r="H9" s="5" t="str">
        <x:v>Proposed</x:v>
      </x:c>
      <x:c r="I9" s="5" t="str"/>
      <x:c r="J9" s="1"/>
      <x:c r="K9" s="1"/>
      <x:c r="L9" s="1"/>
    </x:row>
    <x:row r="10" ht="26.399999618530273" hidden="0" customHeight="1">
      <x:c r="A10" s="1"/>
      <x:c r="B10" s="1"/>
      <x:c r="C10" s="5" t="str">
        <x:v>Arrange liquidity contingency</x:v>
      </x:c>
      <x:c r="D10" s="5" t="str">
        <x:v>Treasury</x:v>
      </x:c>
      <x:c r="E10" s="5" t="str">
        <x:v>Before floor breach</x:v>
      </x:c>
      <x:c r="F10" s="5" t="str">
        <x:v>Confirmed facility and covenants</x:v>
      </x:c>
      <x:c r="G10" s="5" t="str">
        <x:v>Treasury lead</x:v>
      </x:c>
      <x:c r="H10" s="5" t="str">
        <x:v>Proposed</x:v>
      </x:c>
      <x:c r="I10" s="5" t="str"/>
      <x:c r="J10" s="1"/>
      <x:c r="K10" s="1"/>
      <x:c r="L10" s="1"/>
    </x:row>
    <x:row r="11" ht="26.399999618530273" hidden="0" customHeight="1">
      <x:c r="A11" s="1"/>
      <x:c r="B11" s="1"/>
      <x:c r="C11" s="5" t="str">
        <x:v>Refresh receipts / payments</x:v>
      </x:c>
      <x:c r="D11" s="5" t="str">
        <x:v>Treasury + AP</x:v>
      </x:c>
      <x:c r="E11" s="5" t="str">
        <x:v>Every Monday</x:v>
      </x:c>
      <x:c r="F11" s="5" t="str">
        <x:v>Prior week actuals reconciled</x:v>
      </x:c>
      <x:c r="G11" s="5" t="str">
        <x:v>Finance lead</x:v>
      </x:c>
      <x:c r="H11" s="5" t="str">
        <x:v>Proposed</x:v>
      </x:c>
      <x:c r="I11" s="5" t="str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C4:I4"/>
  </x:mergeCells>
  <x:dataValidations count="1">
    <x:dataValidation type="list" sqref="H7:H11">
      <x:formula1>"Proposed,In progress,Completed,Blocked"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Reconciliation checks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14" t="str">
        <x:v>Check</x:v>
      </x:c>
      <x:c r="D6" s="14" t="str">
        <x:v>Difference</x:v>
      </x:c>
      <x:c r="E6" s="14" t="str">
        <x:v>Tolerance (USD)</x:v>
      </x:c>
      <x:c r="F6" s="1"/>
      <x:c r="G6" s="1"/>
      <x:c r="H6" s="1"/>
      <x:c r="I6" s="1"/>
      <x:c r="J6" s="1"/>
      <x:c r="K6" s="1"/>
      <x:c r="L6" s="1"/>
    </x:row>
    <x:row r="7" ht="15" hidden="0" customHeight="1">
      <x:c r="A7" s="1"/>
      <x:c r="B7" s="1"/>
      <x:c r="C7" s="5" t="str">
        <x:v>Invoices collected plus carried forward</x:v>
      </x:c>
      <x:c r="D7" s="34" t="n">
        <x:f>SUM('Invoices'!F7:F32)-SUM('Weekly'!D8:P8)-'Summary'!D10</x:f>
        <x:v>0</x:v>
      </x:c>
      <x:c r="E7" s="35" t="n">
        <x:v>0.01</x:v>
      </x:c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5" t="str">
        <x:v>Cash roll-forward</x:v>
      </x:c>
      <x:c r="D8" s="34" t="n">
        <x:f>'Weekly'!P18-'Assumptions'!G9-SUM('Weekly'!D17:P17)</x:f>
        <x:v>0</x:v>
      </x:c>
      <x:c r="E8" s="35" t="n">
        <x:v>0.01</x:v>
      </x:c>
      <x:c r="F8" s="1"/>
      <x:c r="G8" s="1"/>
      <x:c r="H8" s="1"/>
      <x:c r="I8" s="1"/>
      <x:c r="J8" s="1"/>
      <x:c r="K8" s="1"/>
      <x:c r="L8" s="1"/>
    </x:row>
    <x:row r="9" ht="15" hidden="0" customHeight="1">
      <x:c r="A9" s="1"/>
      <x:c r="B9" s="1"/>
      <x:c r="C9" s="5" t="str">
        <x:v>Capex paid plus future obligation</x:v>
      </x:c>
      <x:c r="D9" s="34" t="n">
        <x:f>'Assumptions'!G16-SUM('Weekly'!D15:P15)-'Summary'!D11</x:f>
        <x:v>0</x:v>
      </x:c>
      <x:c r="E9" s="35" t="n">
        <x:v>0.01</x:v>
      </x:c>
      <x:c r="F9" s="1"/>
      <x:c r="G9" s="1"/>
      <x:c r="H9" s="1"/>
      <x:c r="I9" s="1"/>
      <x:c r="J9" s="1"/>
      <x:c r="K9" s="1"/>
      <x:c r="L9" s="1"/>
    </x:row>
    <x:row r="10" ht="15" hidden="0" customHeight="1">
      <x:c r="A10" s="1"/>
      <x:c r="B10" s="1"/>
      <x:c r="C10" s="5" t="str">
        <x:v>Simulated review bridge</x:v>
      </x:c>
      <x:c r="D10" s="34" t="n">
        <x:f>SUM('Review'!J7:J10)-SUM('Review'!F7:F10)+SUM('Review'!I7:I10)</x:f>
        <x:v>0</x:v>
      </x:c>
      <x:c r="E10" s="35" t="n">
        <x:v>0.01</x:v>
      </x:c>
      <x:c r="F10" s="1"/>
      <x:c r="G10" s="1"/>
      <x:c r="H10" s="1"/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conditionalFormatting sqref="D7:D10">
    <x:cfRule type="expression" dxfId="1" priority="1">
      <x:formula>ABS(D7)&gt;E7</x:formula>
    </x:cfRule>
  </x:conditionalFormatting>
  <x:pageMargins left="0.7" right="0.7" top="0.75" bottom="0.75" header="0.3" footer="0.3"/>
</x:worksheet>
</file>