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e9aac686a744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38e4d8ac1724b0e"/>
    <x:sheet xmlns:r="http://schemas.openxmlformats.org/officeDocument/2006/relationships" name="Assumptions" sheetId="2" r:id="R2dca583960034956"/>
    <x:sheet xmlns:r="http://schemas.openxmlformats.org/officeDocument/2006/relationships" name="Cash Flows" sheetId="3" r:id="R99b6d23b3edb46d4"/>
    <x:sheet xmlns:r="http://schemas.openxmlformats.org/officeDocument/2006/relationships" name="Review" sheetId="4" r:id="Re49c442043d64196"/>
    <x:sheet xmlns:r="http://schemas.openxmlformats.org/officeDocument/2006/relationships" name="After Tax" sheetId="5" r:id="R891d4e7225bb4a48"/>
    <x:sheet xmlns:r="http://schemas.openxmlformats.org/officeDocument/2006/relationships" name="Financing" sheetId="6" r:id="R25c2cd5c2231494c"/>
    <x:sheet xmlns:r="http://schemas.openxmlformats.org/officeDocument/2006/relationships" name="Actions" sheetId="7" r:id="Redec429e0f524777"/>
    <x:sheet xmlns:r="http://schemas.openxmlformats.org/officeDocument/2006/relationships" name="Audit" sheetId="8" r:id="R35298ddd517143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#,##0;(#,##0);&quot;-&quot;"/>
    <x:numFmt numFmtId="203" formatCode="$#,##0;($#,##0);&quot;-&quot;"/>
    <x:numFmt numFmtId="204" formatCode="0.000"/>
    <x:numFmt numFmtId="205" formatCode="0.0"/>
    <x:numFmt numFmtId="206" formatCode="0.00"/>
    <x:numFmt numFmtId="207" formatCode="#,##0"/>
    <x:numFmt numFmtId="208" formatCode="0"/>
  </x:numFmts>
  <x:fonts count="7">
    <x:font>
      <x:sz val="11"/>
      <x:name val="Carlito"/>
    </x:font>
    <x:font>
      <x:sz val="11"/>
      <x:color rgb="FF172C43"/>
      <x:name val="Arial"/>
    </x:font>
    <x:font>
      <x:b/>
      <x:sz val="16"/>
      <x:color rgb="FF17324D"/>
      <x:name val="Arial"/>
    </x:font>
    <x:font>
      <x:sz val="11"/>
      <x:color rgb="FF0759E6"/>
      <x:name val="Arial"/>
    </x:font>
    <x:font>
      <x:sz val="11"/>
      <x:color rgb="FF111111"/>
      <x:name val="Arial"/>
    </x:font>
    <x:font>
      <x:sz val="11"/>
      <x:color rgb="FF087A55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7324D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9BAFC4"/>
      </x:bottom>
      <x:diagonal/>
    </x:border>
  </x:borders>
  <x:cellStyleXfs count="1">
    <x:xf numFmtId="0" fontId="0" fillId="0" borderId="0"/>
  </x:cellStyleXfs>
  <x:cellXfs count="4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200" fontId="4" fillId="0" borderId="0" xfId="0" applyNumberFormat="1" applyFont="1" applyFill="1" applyBorder="1"/>
    <x:xf numFmtId="200" fontId="3" fillId="0" borderId="0" xfId="0" applyNumberFormat="1" applyFont="1" applyFill="1" applyBorder="1"/>
    <x:xf numFmtId="0" fontId="1" fillId="2" borderId="0" xfId="0" applyNumberFormat="1" applyFont="1" applyFill="1" applyBorder="1"/>
    <x:xf numFmtId="200" fontId="4" fillId="2" borderId="0" xfId="0" applyNumberFormat="1" applyFont="1" applyFill="1" applyBorder="1"/>
    <x:xf numFmtId="201" fontId="4" fillId="0" borderId="0" xfId="0" applyNumberFormat="1" applyFont="1" applyFill="1" applyBorder="1"/>
    <x:xf numFmtId="201" fontId="3" fillId="0" borderId="0" xfId="0" applyNumberFormat="1" applyFont="1" applyFill="1" applyBorder="1"/>
    <x:xf numFmtId="201" fontId="4" fillId="2" borderId="0" xfId="0" applyNumberFormat="1" applyFont="1" applyFill="1" applyBorder="1"/>
    <x:xf numFmtId="202" fontId="4" fillId="0" borderId="0" xfId="0" applyNumberFormat="1" applyFont="1" applyFill="1" applyBorder="1"/>
    <x:xf numFmtId="202" fontId="3" fillId="0" borderId="0" xfId="0" applyNumberFormat="1" applyFont="1" applyFill="1" applyBorder="1"/>
    <x:xf numFmtId="202" fontId="4" fillId="2" borderId="0" xfId="0" applyNumberFormat="1" applyFont="1" applyFill="1" applyBorder="1"/>
    <x:xf numFmtId="203" fontId="4" fillId="0" borderId="0" xfId="0" applyNumberFormat="1" applyFont="1" applyFill="1" applyBorder="1"/>
    <x:xf numFmtId="203" fontId="3" fillId="0" borderId="0" xfId="0" applyNumberFormat="1" applyFont="1" applyFill="1" applyBorder="1"/>
    <x:xf numFmtId="203" fontId="4" fillId="2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203" fontId="5" fillId="0" borderId="0" xfId="0" applyNumberFormat="1" applyFont="1" applyFill="1" applyBorder="1" applyAlignment="1">
      <x:alignment wrapText="1"/>
    </x:xf>
    <x:xf numFmtId="203" fontId="4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3" fontId="3" fillId="0" borderId="0" xfId="0" applyNumberFormat="1" applyFont="1" applyFill="1" applyBorder="1" applyAlignment="1">
      <x:alignment wrapText="1"/>
    </x:xf>
    <x:xf numFmtId="200" fontId="3" fillId="0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 applyAlignment="1">
      <x:alignment wrapText="1"/>
    </x:xf>
    <x:xf numFmtId="205" fontId="1" fillId="0" borderId="0" xfId="0" applyNumberFormat="1" applyFont="1" applyFill="1" applyBorder="1" applyAlignment="1">
      <x:alignment wrapText="1"/>
    </x:xf>
    <x:xf numFmtId="205" fontId="4" fillId="0" borderId="0" xfId="0" applyNumberFormat="1" applyFont="1" applyFill="1" applyBorder="1" applyAlignment="1">
      <x:alignment wrapText="1"/>
    </x:xf>
    <x:xf numFmtId="206" fontId="5" fillId="0" borderId="0" xfId="0" applyNumberFormat="1" applyFont="1" applyFill="1" applyBorder="1" applyAlignment="1">
      <x:alignment wrapText="1"/>
    </x:xf>
    <x:xf numFmtId="206" fontId="1" fillId="0" borderId="0" xfId="0" applyNumberFormat="1" applyFont="1" applyFill="1" applyBorder="1" applyAlignment="1">
      <x:alignment wrapText="1"/>
    </x:xf>
    <x:xf numFmtId="201" fontId="3" fillId="0" borderId="0" xfId="0" applyNumberFormat="1" applyFont="1" applyFill="1" applyBorder="1" applyAlignment="1">
      <x:alignment wrapText="1"/>
    </x:xf>
    <x:xf numFmtId="207" fontId="3" fillId="0" borderId="0" xfId="0" applyNumberFormat="1" applyFont="1" applyFill="1" applyBorder="1" applyAlignment="1">
      <x:alignment wrapText="1"/>
    </x:xf>
    <x:xf numFmtId="208" fontId="3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6" fillId="3" borderId="0" xfId="0" applyNumberFormat="1" applyFont="1" applyFill="1" applyBorder="1"/>
    <x:xf numFmtId="208" fontId="4" fillId="0" borderId="0" xfId="0" applyNumberFormat="1" applyFont="1" applyFill="1" applyBorder="1"/>
    <x:xf numFmtId="207" fontId="4" fillId="0" borderId="0" xfId="0" applyNumberFormat="1" applyFont="1" applyFill="1" applyBorder="1"/>
  </x:cellXfs>
  <x:cellStyles count="1">
    <x:cellStyle name="Normal" xfId="0"/>
  </x:cellStyles>
  <x:dxfs count="1"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7229e804af4098" /><Relationship Type="http://schemas.openxmlformats.org/officeDocument/2006/relationships/theme" Target="/xl/theme/theme1.xml" Id="R8eab4b394c4741ec" /><Relationship Type="http://schemas.openxmlformats.org/officeDocument/2006/relationships/sharedStrings" Target="/xl/sharedStrings.xml" Id="R1d0e0949d68e43cc" /><Relationship Type="http://schemas.openxmlformats.org/officeDocument/2006/relationships/worksheet" Target="/xl/worksheets/sheet1.xml" Id="Rc38e4d8ac1724b0e" /><Relationship Type="http://schemas.openxmlformats.org/officeDocument/2006/relationships/worksheet" Target="/xl/worksheets/sheet2.xml" Id="R2dca583960034956" /><Relationship Type="http://schemas.openxmlformats.org/officeDocument/2006/relationships/worksheet" Target="/xl/worksheets/sheet3.xml" Id="R99b6d23b3edb46d4" /><Relationship Type="http://schemas.openxmlformats.org/officeDocument/2006/relationships/worksheet" Target="/xl/worksheets/sheet4.xml" Id="Re49c442043d64196" /><Relationship Type="http://schemas.openxmlformats.org/officeDocument/2006/relationships/worksheet" Target="/xl/worksheets/sheet5.xml" Id="R891d4e7225bb4a48" /><Relationship Type="http://schemas.openxmlformats.org/officeDocument/2006/relationships/worksheet" Target="/xl/worksheets/sheet6.xml" Id="R25c2cd5c2231494c" /><Relationship Type="http://schemas.openxmlformats.org/officeDocument/2006/relationships/worksheet" Target="/xl/worksheets/sheet7.xml" Id="Redec429e0f524777" /><Relationship Type="http://schemas.openxmlformats.org/officeDocument/2006/relationships/worksheet" Target="/xl/worksheets/sheet8.xml" Id="R35298ddd5171435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7cde9af656245f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Five-year after-tax present value (USD)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After-tax PV costs</c:v>
          </c:tx>
          <c:cat>
            <c:strRef>
              <c:f>'Summary'!$C$7:$C$9</c:f>
              <c:strCache>
                <c:ptCount val="0"/>
              </c:strCache>
            </c:strRef>
          </c:cat>
          <c:val>
            <c:numRef>
              <c:f>'Summary'!$D$7:$D$9</c:f>
              <c:numCache>
                <c:formatCode>$#,##0;($#,##0);"-"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.0,,&quot;M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7</xdr:row>
      <xdr:rowOff>0</xdr:rowOff>
    </xdr:from>
    <xdr:to>
      <xdr:col>15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7cde9af656245f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c2daf1ac0fa42f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</x:row>
    <x:row r="2" ht="22" customHeight="1">
      <x:c r="A2" s="1"/>
      <x:c r="B2" s="1"/>
      <x:c r="C2" s="2" t="str">
        <x:v>Fleet investment committee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</x:row>
    <x:row r="4" ht="22" customHeight="1">
      <x:c r="A4" s="1"/>
      <x:c r="B4" s="1"/>
      <x:c r="C4" s="1" t="str">
        <x:v>Case selected</x:v>
      </x:c>
      <x:c r="D4" s="7" t="str">
        <x:f>'Assumptions'!D4</x:f>
        <x:v>Base</x:v>
      </x:c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</x:row>
    <x:row r="6" ht="15" hidden="0" customHeight="1">
      <x:c r="A6" s="1"/>
      <x:c r="B6" s="1"/>
      <x:c r="C6" s="23" t="str">
        <x:v>Alternative</x:v>
      </x:c>
      <x:c r="D6" s="23" t="str">
        <x:v>After-tax PV costs</x:v>
      </x:c>
      <x:c r="E6" s="23" t="str">
        <x:v>Upfront cash needed</x:v>
      </x:c>
      <x:c r="F6" s="23" t="str">
        <x:v>NPV gain vs keep</x:v>
      </x:c>
      <x:c r="G6" s="23" t="str">
        <x:v>Budget eligible</x:v>
      </x:c>
      <x:c r="H6" s="1"/>
      <x:c r="I6" s="1"/>
      <x:c r="J6" s="1"/>
      <x:c r="K6" s="1"/>
      <x:c r="L6" s="1"/>
      <x:c r="M6" s="1"/>
      <x:c r="N6" s="1"/>
      <x:c r="O6" s="1"/>
    </x:row>
    <x:row r="7" ht="15" hidden="0" customHeight="1">
      <x:c r="A7" s="1"/>
      <x:c r="B7" s="1"/>
      <x:c r="C7" s="5" t="str">
        <x:v>Keep</x:v>
      </x:c>
      <x:c r="D7" s="35" t="n">
        <x:f>-SUM('After Tax'!D29:I29)</x:f>
        <x:v>1674900.963813121</x:v>
      </x:c>
      <x:c r="E7" s="35" t="n">
        <x:f>MAX(0,-'After Tax'!D11)</x:f>
        <x:v>0</x:v>
      </x:c>
      <x:c r="F7" s="35" t="n">
        <x:f>0</x:f>
        <x:v>0</x:v>
      </x:c>
      <x:c r="G7" s="28" t="str">
        <x:f>IF(E7&lt;='Assumptions'!$G$22,"Yes","No")</x:f>
        <x:v>Yes</x:v>
      </x:c>
      <x:c r="H7" s="1"/>
      <x:c r="I7" s="1"/>
      <x:c r="J7" s="1"/>
      <x:c r="K7" s="1"/>
      <x:c r="L7" s="1"/>
      <x:c r="M7" s="1"/>
      <x:c r="N7" s="1"/>
      <x:c r="O7" s="1"/>
    </x:row>
    <x:row r="8" ht="15" hidden="0" customHeight="1">
      <x:c r="A8" s="1"/>
      <x:c r="B8" s="1"/>
      <x:c r="C8" s="5" t="str">
        <x:v>Replace</x:v>
      </x:c>
      <x:c r="D8" s="35" t="n">
        <x:f>-SUM('After Tax'!D30:I30)</x:f>
        <x:v>1447379.0688278498</x:v>
      </x:c>
      <x:c r="E8" s="35" t="n">
        <x:f>MAX(0,-'After Tax'!D18)</x:f>
        <x:v>685500</x:v>
      </x:c>
      <x:c r="F8" s="35" t="n">
        <x:f>$D$7-D8</x:f>
        <x:v>227521.89498527115</x:v>
      </x:c>
      <x:c r="G8" s="28" t="str">
        <x:f>IF(E8&lt;='Assumptions'!$G$22,"Yes","No")</x:f>
        <x:v>Yes</x:v>
      </x:c>
      <x:c r="H8" s="1"/>
      <x:c r="I8" s="1"/>
      <x:c r="J8" s="1"/>
      <x:c r="K8" s="1"/>
      <x:c r="L8" s="1"/>
      <x:c r="M8" s="1"/>
      <x:c r="N8" s="1"/>
      <x:c r="O8" s="1"/>
    </x:row>
    <x:row r="9" ht="15" hidden="0" customHeight="1">
      <x:c r="A9" s="1"/>
      <x:c r="B9" s="1"/>
      <x:c r="C9" s="5" t="str">
        <x:v>Lease</x:v>
      </x:c>
      <x:c r="D9" s="35" t="n">
        <x:f>-SUM('After Tax'!D31:I31)</x:f>
        <x:v>1441460.9154614909</x:v>
      </x:c>
      <x:c r="E9" s="35" t="n">
        <x:f>MAX(0,-'After Tax'!D25)</x:f>
        <x:v>0</x:v>
      </x:c>
      <x:c r="F9" s="35" t="n">
        <x:f>$D$7-D9</x:f>
        <x:v>233440.0483516301</x:v>
      </x:c>
      <x:c r="G9" s="28" t="str">
        <x:f>IF(E9&lt;='Assumptions'!$G$22,"Yes","No")</x:f>
        <x:v>Yes</x:v>
      </x:c>
      <x:c r="H9" s="1"/>
      <x:c r="I9" s="1"/>
      <x:c r="J9" s="1"/>
      <x:c r="K9" s="1"/>
      <x:c r="L9" s="1"/>
      <x:c r="M9" s="1"/>
      <x:c r="N9" s="1"/>
      <x:c r="O9" s="1"/>
    </x:row>
    <x:row r="10" ht="22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</x:row>
    <x:row r="11" ht="22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</x:row>
    <x:row r="12" ht="22" customHeight="1">
      <x:c r="A12" s="1"/>
      <x:c r="B12" s="1"/>
      <x:c r="C12" s="1" t="str">
        <x:v>Lowest modeled PV cost</x:v>
      </x:c>
      <x:c r="D12" s="1" t="str">
        <x:f>INDEX(C7:C9,MATCH(MIN(D7:D9),D7:D9,0))</x:f>
        <x:v>Lease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</x:row>
    <x:row r="13" ht="22" customHeight="1">
      <x:c r="A13" s="1"/>
      <x:c r="B13" s="1"/>
      <x:c r="C13" s="1" t="str">
        <x:v>Recommended within budget</x:v>
      </x:c>
      <x:c r="D13" s="1" t="str">
        <x:f>IF(AND(G8="Yes",D8&lt;=D7,OR(G9="No",D8&lt;=D9)),"Replace",IF(AND(G9="Yes",D9&lt;D7),"Lease","Keep"))</x:f>
        <x:v>Lease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</x:row>
    <x:row r="14" ht="22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</x:row>
    <x:row r="15" ht="22" customHeight="1">
      <x:c r="A15" s="1"/>
      <x:c r="B15" s="1"/>
      <x:c r="C15" s="1" t="str">
        <x:v>Approval conditions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</x:row>
    <x:row r="16" ht="22" customHeight="1">
      <x:c r="A16" s="1"/>
      <x:c r="B16" s="1"/>
      <x:c r="C16" s="5" t="str">
        <x:v>Validate quotes, residual values, availability and tax treatment.</x:v>
      </x:c>
      <x:c r="D16" s="5"/>
      <x:c r="E16" s="5"/>
      <x:c r="F16" s="5"/>
      <x:c r="G16" s="5"/>
      <x:c r="H16" s="1"/>
      <x:c r="I16" s="1"/>
      <x:c r="J16" s="1"/>
      <x:c r="K16" s="1"/>
      <x:c r="L16" s="1"/>
      <x:c r="M16" s="1"/>
      <x:c r="N16" s="1"/>
      <x:c r="O16" s="1"/>
    </x:row>
    <x:row r="17" ht="22" customHeight="1">
      <x:c r="A17" s="1"/>
      <x:c r="B17" s="1"/>
      <x:c r="C17" s="5"/>
      <x:c r="D17" s="5"/>
      <x:c r="E17" s="5"/>
      <x:c r="F17" s="5"/>
      <x:c r="G17" s="5"/>
      <x:c r="H17" s="1"/>
      <x:c r="I17" s="1"/>
      <x:c r="J17" s="1"/>
      <x:c r="K17" s="1"/>
      <x:c r="L17" s="1"/>
      <x:c r="M17" s="1"/>
      <x:c r="N17" s="1"/>
      <x:c r="O17" s="1"/>
    </x:row>
    <x:row r="18" ht="22" customHeight="1">
      <x:c r="A18" s="1"/>
      <x:c r="B18" s="1"/>
      <x:c r="C18" s="5"/>
      <x:c r="D18" s="5"/>
      <x:c r="E18" s="5"/>
      <x:c r="F18" s="5"/>
      <x:c r="G18" s="5"/>
      <x:c r="H18" s="1"/>
      <x:c r="I18" s="1"/>
      <x:c r="J18" s="1"/>
      <x:c r="K18" s="1"/>
      <x:c r="L18" s="1"/>
      <x:c r="M18" s="1"/>
      <x:c r="N18" s="1"/>
      <x:c r="O18" s="1"/>
    </x:row>
    <x:row r="19" ht="22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</x:row>
    <x:row r="20" ht="22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</x:row>
    <x:row r="21" ht="22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</x:row>
    <x:row r="22" ht="22" customHeight="1">
      <x:c r="A22" s="1"/>
      <x:c r="B22" s="1"/>
      <x:c r="C22" s="5" t="str">
        <x:v>Lease assumes maintenance included; downtime and fuel remain.</x:v>
      </x:c>
      <x:c r="D22" s="5"/>
      <x:c r="E22" s="5"/>
      <x:c r="F22" s="5"/>
      <x:c r="G22" s="5"/>
      <x:c r="H22" s="1"/>
      <x:c r="I22" s="1"/>
      <x:c r="J22" s="1"/>
      <x:c r="K22" s="1"/>
      <x:c r="L22" s="1"/>
      <x:c r="M22" s="1"/>
      <x:c r="N22" s="1"/>
      <x:c r="O22" s="1"/>
    </x:row>
    <x:row r="23" ht="22" customHeight="1">
      <x:c r="A23" s="1"/>
      <x:c r="B23" s="1"/>
      <x:c r="C23" s="5"/>
      <x:c r="D23" s="5"/>
      <x:c r="E23" s="5"/>
      <x:c r="F23" s="5"/>
      <x:c r="G23" s="5"/>
      <x:c r="H23" s="1"/>
      <x:c r="I23" s="1"/>
      <x:c r="J23" s="1"/>
      <x:c r="K23" s="1"/>
      <x:c r="L23" s="1"/>
      <x:c r="M23" s="1"/>
      <x:c r="N23" s="1"/>
      <x:c r="O23" s="1"/>
    </x:row>
    <x:row r="24" ht="22" customHeight="1">
      <x:c r="A24" s="1"/>
      <x:c r="B24" s="1"/>
      <x:c r="C24" s="5"/>
      <x:c r="D24" s="5"/>
      <x:c r="E24" s="5"/>
      <x:c r="F24" s="5"/>
      <x:c r="G24" s="5"/>
      <x:c r="H24" s="1"/>
      <x:c r="I24" s="1"/>
      <x:c r="J24" s="1"/>
      <x:c r="K24" s="1"/>
      <x:c r="L24" s="1"/>
      <x:c r="M24" s="1"/>
      <x:c r="N24" s="1"/>
      <x:c r="O24" s="1"/>
    </x:row>
    <x:row r="25" ht="22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</x:row>
    <x:row r="26" ht="22" customHeight="1">
      <x:c r="A26" s="1"/>
      <x:c r="B26" s="1"/>
      <x:c r="C26" s="5" t="str">
        <x:v>After-tax unlevered NPV. Separate financing schedule; assumed full tax usability.</x:v>
      </x:c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</x:row>
    <x:row r="27" ht="22" customHeight="1">
      <x:c r="A27" s="1"/>
      <x:c r="B27" s="1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</x:row>
    <x:row r="28" ht="22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</x:row>
  </x:sheetData>
  <x:mergeCells>
    <x:mergeCell ref="D4:F4"/>
    <x:mergeCell ref="C16:G18"/>
    <x:mergeCell ref="C22:G24"/>
    <x:mergeCell ref="C26:O27"/>
  </x:mergeCells>
  <x:pageMargins left="0.7" right="0.7" top="0.75" bottom="0.75" header="0.3" footer="0.3"/>
  <x:drawing xmlns:r="http://schemas.openxmlformats.org/officeDocument/2006/relationships" r:id="Rcc2daf1ac0fa42f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42" hidden="0" customWidth="1"/>
    <x:col min="4" max="4" width="17" hidden="0" customWidth="1"/>
    <x:col min="5" max="5" width="17" hidden="0" customWidth="1"/>
    <x:col min="6" max="6" width="32" hidden="0" customWidth="1"/>
    <x:col min="7" max="7" width="32" hidden="0" customWidth="1"/>
    <x:col min="8" max="8" width="32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Fleet assumptions</x:v>
      </x:c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1"/>
      <x:c r="B4" s="1"/>
      <x:c r="C4" s="1"/>
      <x:c r="D4" s="6" t="str">
        <x:f>CHOOSE(D5,"Base","Fuel shock","Low utilization")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 t="str">
        <x:v>Case selected</x:v>
      </x:c>
      <x:c r="D5" s="4" t="n">
        <x:v>1</x:v>
      </x:c>
      <x:c r="E5" s="1"/>
      <x:c r="F5" s="5" t="str">
        <x:v>1 Base / 2 Fuel shock / 3 Low utilization</x:v>
      </x:c>
      <x:c r="G5" s="5"/>
      <x:c r="H5" s="5"/>
      <x:c r="I5" s="5"/>
      <x:c r="J5" s="5"/>
      <x:c r="K5" s="5"/>
      <x:c r="L5" s="1"/>
    </x:row>
    <x:row r="6" ht="22" customHeight="1">
      <x:c r="A6" s="1"/>
      <x:c r="B6" s="1"/>
      <x:c r="C6" s="1"/>
      <x:c r="D6" s="1"/>
      <x:c r="E6" s="1"/>
      <x:c r="F6" s="5"/>
      <x:c r="G6" s="5"/>
      <x:c r="H6" s="5"/>
      <x:c r="I6" s="5"/>
      <x:c r="J6" s="5"/>
      <x:c r="K6" s="5"/>
      <x:c r="L6" s="1"/>
    </x:row>
    <x:row r="7" ht="22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</x:row>
    <x:row r="8" ht="15" hidden="0" customHeight="1">
      <x:c r="A8" s="1"/>
      <x:c r="B8" s="1"/>
      <x:c r="C8" s="10" t="str">
        <x:v>Discount rate (active)</x:v>
      </x:c>
      <x:c r="D8" s="11" t="n">
        <x:f>IF(ISNUMBER(CHOOSE($D$5,D9,D10,D11)),CHOOSE($D$5,D9,D10,D11),NA())</x:f>
        <x:v>0.08</x:v>
      </x:c>
      <x:c r="E8" s="1"/>
      <x:c r="F8" s="23" t="str">
        <x:v>Input</x:v>
      </x:c>
      <x:c r="G8" s="23" t="str">
        <x:v>Value</x:v>
      </x:c>
      <x:c r="H8" s="23" t="str">
        <x:v>Units</x:v>
      </x:c>
      <x:c r="I8" s="1"/>
      <x:c r="J8" s="1"/>
      <x:c r="K8" s="1"/>
      <x:c r="L8" s="1"/>
    </x:row>
    <x:row r="9" ht="15" hidden="0" customHeight="1">
      <x:c r="A9" s="1"/>
      <x:c r="B9" s="1"/>
      <x:c r="C9" s="1" t="str">
        <x:v>Base</x:v>
      </x:c>
      <x:c r="D9" s="9" t="n">
        <x:v>0.08</x:v>
      </x:c>
      <x:c r="E9" s="1"/>
      <x:c r="F9" s="5" t="str">
        <x:v>Fleet size</x:v>
      </x:c>
      <x:c r="G9" s="24" t="n">
        <x:v>6</x:v>
      </x:c>
      <x:c r="H9" s="5" t="str">
        <x:v>vehicles</x:v>
      </x:c>
      <x:c r="I9" s="1"/>
      <x:c r="J9" s="1"/>
      <x:c r="K9" s="1"/>
      <x:c r="L9" s="1"/>
    </x:row>
    <x:row r="10" ht="26.399999618530273" hidden="0" customHeight="1">
      <x:c r="A10" s="1"/>
      <x:c r="B10" s="1"/>
      <x:c r="C10" s="1" t="str">
        <x:v>Fuel shock</x:v>
      </x:c>
      <x:c r="D10" s="9" t="n">
        <x:v>0.1</x:v>
      </x:c>
      <x:c r="E10" s="1"/>
      <x:c r="F10" s="5" t="str">
        <x:v>Purchase cost / vehicle</x:v>
      </x:c>
      <x:c r="G10" s="33" t="n">
        <x:v>130000</x:v>
      </x:c>
      <x:c r="H10" s="5" t="str">
        <x:v>USD</x:v>
      </x:c>
      <x:c r="I10" s="1"/>
      <x:c r="J10" s="1"/>
      <x:c r="K10" s="1"/>
      <x:c r="L10" s="1"/>
    </x:row>
    <x:row r="11" ht="26.399999618530273" hidden="0" customHeight="1">
      <x:c r="A11" s="1"/>
      <x:c r="B11" s="1"/>
      <x:c r="C11" s="1" t="str">
        <x:v>Low utilization</x:v>
      </x:c>
      <x:c r="D11" s="9" t="n">
        <x:v>0.08</x:v>
      </x:c>
      <x:c r="E11" s="1"/>
      <x:c r="F11" s="5" t="str">
        <x:v>Sale of old / vehicle now</x:v>
      </x:c>
      <x:c r="G11" s="33" t="n">
        <x:v>20000</x:v>
      </x:c>
      <x:c r="H11" s="5" t="str">
        <x:v>USD</x:v>
      </x:c>
      <x:c r="I11" s="1"/>
      <x:c r="J11" s="1"/>
      <x:c r="K11" s="1"/>
      <x:c r="L11" s="1"/>
    </x:row>
    <x:row r="12" ht="26.399999618530273" hidden="0" customHeight="1">
      <x:c r="A12" s="1"/>
      <x:c r="B12" s="1"/>
      <x:c r="C12" s="1"/>
      <x:c r="D12" s="1"/>
      <x:c r="E12" s="1"/>
      <x:c r="F12" s="5" t="str">
        <x:v>Old terminal resale / vehicle</x:v>
      </x:c>
      <x:c r="G12" s="33" t="n">
        <x:v>7000</x:v>
      </x:c>
      <x:c r="H12" s="5" t="str">
        <x:v>USD</x:v>
      </x:c>
      <x:c r="I12" s="1"/>
      <x:c r="J12" s="1"/>
      <x:c r="K12" s="1"/>
      <x:c r="L12" s="1"/>
    </x:row>
    <x:row r="13" ht="26.399999618530273" hidden="0" customHeight="1">
      <x:c r="A13" s="1"/>
      <x:c r="B13" s="1"/>
      <x:c r="C13" s="10" t="str">
        <x:v>Fuel price per gallon (active)</x:v>
      </x:c>
      <x:c r="D13" s="14" t="n">
        <x:f>IF(ISNUMBER(CHOOSE($D$5,D14,D15,D16)),CHOOSE($D$5,D14,D15,D16),NA())</x:f>
        <x:v>4</x:v>
      </x:c>
      <x:c r="E13" s="1"/>
      <x:c r="F13" s="5" t="str">
        <x:v>New terminal resale / vehicle</x:v>
      </x:c>
      <x:c r="G13" s="33" t="n">
        <x:v>42000</x:v>
      </x:c>
      <x:c r="H13" s="5" t="str">
        <x:v>USD</x:v>
      </x:c>
      <x:c r="I13" s="1"/>
      <x:c r="J13" s="1"/>
      <x:c r="K13" s="1"/>
      <x:c r="L13" s="1"/>
    </x:row>
    <x:row r="14" ht="15" hidden="0" customHeight="1">
      <x:c r="A14" s="1"/>
      <x:c r="B14" s="1"/>
      <x:c r="C14" s="1" t="str">
        <x:v>Base</x:v>
      </x:c>
      <x:c r="D14" s="13" t="n">
        <x:v>4</x:v>
      </x:c>
      <x:c r="E14" s="1"/>
      <x:c r="F14" s="5" t="str">
        <x:v>Old fuel economy</x:v>
      </x:c>
      <x:c r="G14" s="24" t="n">
        <x:v>6</x:v>
      </x:c>
      <x:c r="H14" s="5" t="str">
        <x:v>mpg</x:v>
      </x:c>
      <x:c r="I14" s="1"/>
      <x:c r="J14" s="1"/>
      <x:c r="K14" s="1"/>
      <x:c r="L14" s="1"/>
    </x:row>
    <x:row r="15" ht="15" hidden="0" customHeight="1">
      <x:c r="A15" s="1"/>
      <x:c r="B15" s="1"/>
      <x:c r="C15" s="1" t="str">
        <x:v>Fuel shock</x:v>
      </x:c>
      <x:c r="D15" s="13" t="n">
        <x:v>5</x:v>
      </x:c>
      <x:c r="E15" s="1"/>
      <x:c r="F15" s="5" t="str">
        <x:v>New fuel economy</x:v>
      </x:c>
      <x:c r="G15" s="24" t="n">
        <x:v>7.2</x:v>
      </x:c>
      <x:c r="H15" s="5" t="str">
        <x:v>mpg</x:v>
      </x:c>
      <x:c r="I15" s="1"/>
      <x:c r="J15" s="1"/>
      <x:c r="K15" s="1"/>
      <x:c r="L15" s="1"/>
    </x:row>
    <x:row r="16" ht="26.399999618530273" hidden="0" customHeight="1">
      <x:c r="A16" s="1"/>
      <x:c r="B16" s="1"/>
      <x:c r="C16" s="1" t="str">
        <x:v>Low utilization</x:v>
      </x:c>
      <x:c r="D16" s="13" t="n">
        <x:v>4</x:v>
      </x:c>
      <x:c r="E16" s="1"/>
      <x:c r="F16" s="5" t="str">
        <x:v>New maintenance / vehicle</x:v>
      </x:c>
      <x:c r="G16" s="33" t="n">
        <x:v>9000</x:v>
      </x:c>
      <x:c r="H16" s="5" t="str">
        <x:v>USD / year</x:v>
      </x:c>
      <x:c r="I16" s="1"/>
      <x:c r="J16" s="1"/>
      <x:c r="K16" s="1"/>
      <x:c r="L16" s="1"/>
    </x:row>
    <x:row r="17" ht="15" hidden="0" customHeight="1">
      <x:c r="A17" s="1"/>
      <x:c r="B17" s="1"/>
      <x:c r="C17" s="1"/>
      <x:c r="D17" s="1"/>
      <x:c r="E17" s="1"/>
      <x:c r="F17" s="5" t="str">
        <x:v>Old downtime / vehicle</x:v>
      </x:c>
      <x:c r="G17" s="24" t="n">
        <x:v>12</x:v>
      </x:c>
      <x:c r="H17" s="5" t="str">
        <x:v>days / year</x:v>
      </x:c>
      <x:c r="I17" s="1"/>
      <x:c r="J17" s="1"/>
      <x:c r="K17" s="1"/>
      <x:c r="L17" s="1"/>
    </x:row>
    <x:row r="18" ht="26.399999618530273" hidden="0" customHeight="1">
      <x:c r="A18" s="1"/>
      <x:c r="B18" s="1"/>
      <x:c r="C18" s="10" t="str">
        <x:v>Annual miles per vehicle (active)</x:v>
      </x:c>
      <x:c r="D18" s="17" t="n">
        <x:f>IF(ISNUMBER(CHOOSE($D$5,D19,D20,D21)),CHOOSE($D$5,D19,D20,D21),NA())</x:f>
        <x:v>70000</x:v>
      </x:c>
      <x:c r="E18" s="1"/>
      <x:c r="F18" s="5" t="str">
        <x:v>New downtime / vehicle</x:v>
      </x:c>
      <x:c r="G18" s="24" t="n">
        <x:v>4</x:v>
      </x:c>
      <x:c r="H18" s="5" t="str">
        <x:v>days / year</x:v>
      </x:c>
      <x:c r="I18" s="1"/>
      <x:c r="J18" s="1"/>
      <x:c r="K18" s="1"/>
      <x:c r="L18" s="1"/>
    </x:row>
    <x:row r="19" ht="15" hidden="0" customHeight="1">
      <x:c r="A19" s="1"/>
      <x:c r="B19" s="1"/>
      <x:c r="C19" s="1" t="str">
        <x:v>Base</x:v>
      </x:c>
      <x:c r="D19" s="16" t="n">
        <x:v>70000</x:v>
      </x:c>
      <x:c r="E19" s="1"/>
      <x:c r="F19" s="5" t="str">
        <x:v>Downtime cash cost</x:v>
      </x:c>
      <x:c r="G19" s="33" t="n">
        <x:v>1800</x:v>
      </x:c>
      <x:c r="H19" s="5" t="str">
        <x:v>USD / day</x:v>
      </x:c>
      <x:c r="I19" s="1"/>
      <x:c r="J19" s="1"/>
      <x:c r="K19" s="1"/>
      <x:c r="L19" s="1"/>
    </x:row>
    <x:row r="20" ht="15" hidden="0" customHeight="1">
      <x:c r="A20" s="1"/>
      <x:c r="B20" s="1"/>
      <x:c r="C20" s="1" t="str">
        <x:v>Fuel shock</x:v>
      </x:c>
      <x:c r="D20" s="16" t="n">
        <x:v>70000</x:v>
      </x:c>
      <x:c r="E20" s="1"/>
      <x:c r="F20" s="5" t="str">
        <x:v>Lease / vehicle / year</x:v>
      </x:c>
      <x:c r="G20" s="33" t="n">
        <x:v>33000</x:v>
      </x:c>
      <x:c r="H20" s="5" t="str">
        <x:v>USD</x:v>
      </x:c>
      <x:c r="I20" s="1"/>
      <x:c r="J20" s="1"/>
      <x:c r="K20" s="1"/>
      <x:c r="L20" s="1"/>
    </x:row>
    <x:row r="21" ht="15" hidden="0" customHeight="1">
      <x:c r="A21" s="1"/>
      <x:c r="B21" s="1"/>
      <x:c r="C21" s="1" t="str">
        <x:v>Low utilization</x:v>
      </x:c>
      <x:c r="D21" s="16" t="n">
        <x:v>45000</x:v>
      </x:c>
      <x:c r="E21" s="1"/>
      <x:c r="F21" s="5" t="str">
        <x:v>Lease upfront deposit</x:v>
      </x:c>
      <x:c r="G21" s="33" t="n">
        <x:v>50000</x:v>
      </x:c>
      <x:c r="H21" s="5" t="str">
        <x:v>USD</x:v>
      </x:c>
      <x:c r="I21" s="1"/>
      <x:c r="J21" s="1"/>
      <x:c r="K21" s="1"/>
      <x:c r="L21" s="1"/>
    </x:row>
    <x:row r="22" ht="15" hidden="0" customHeight="1">
      <x:c r="A22" s="1"/>
      <x:c r="B22" s="1"/>
      <x:c r="C22" s="1"/>
      <x:c r="D22" s="1"/>
      <x:c r="E22" s="1"/>
      <x:c r="F22" s="5" t="str">
        <x:v>Upfront capital limit</x:v>
      </x:c>
      <x:c r="G22" s="33" t="n">
        <x:v>700000</x:v>
      </x:c>
      <x:c r="H22" s="5" t="str">
        <x:v>USD</x:v>
      </x:c>
      <x:c r="I22" s="1"/>
      <x:c r="J22" s="1"/>
      <x:c r="K22" s="1"/>
      <x:c r="L22" s="1"/>
    </x:row>
    <x:row r="23" ht="15" hidden="0" customHeight="1">
      <x:c r="A23" s="1"/>
      <x:c r="B23" s="1"/>
      <x:c r="C23" s="10" t="str">
        <x:v>Old annual maintenance / vehicle (active)</x:v>
      </x:c>
      <x:c r="D23" s="20" t="n">
        <x:f>IF(ISNUMBER(CHOOSE($D$5,D24,D25,D26)),CHOOSE($D$5,D24,D25,D26),NA())</x:f>
        <x:v>22000</x:v>
      </x:c>
      <x:c r="E23" s="1"/>
      <x:c r="F23" s="5" t="str">
        <x:v>Annual cost inflation</x:v>
      </x:c>
      <x:c r="G23" s="34" t="n">
        <x:v>0.03</x:v>
      </x:c>
      <x:c r="H23" s="5" t="str">
        <x:v>fraction</x:v>
      </x:c>
      <x:c r="I23" s="1"/>
      <x:c r="J23" s="1"/>
      <x:c r="K23" s="1"/>
      <x:c r="L23" s="1"/>
    </x:row>
    <x:row r="24" ht="15" hidden="0" customHeight="1">
      <x:c r="A24" s="1"/>
      <x:c r="B24" s="1"/>
      <x:c r="C24" s="1" t="str">
        <x:v>Base</x:v>
      </x:c>
      <x:c r="D24" s="19" t="n">
        <x:v>22000</x:v>
      </x:c>
      <x:c r="E24" s="1"/>
      <x:c r="F24" s="5" t="str">
        <x:v>Discount years</x:v>
      </x:c>
      <x:c r="G24" s="24" t="n">
        <x:v>5</x:v>
      </x:c>
      <x:c r="H24" s="5" t="str">
        <x:v>years</x:v>
      </x:c>
      <x:c r="I24" s="1"/>
      <x:c r="J24" s="1"/>
      <x:c r="K24" s="1"/>
      <x:c r="L24" s="1"/>
    </x:row>
    <x:row r="25" ht="26.399999618530273" hidden="0" customHeight="1">
      <x:c r="A25" s="1"/>
      <x:c r="B25" s="1"/>
      <x:c r="C25" s="1" t="str">
        <x:v>Fuel shock</x:v>
      </x:c>
      <x:c r="D25" s="19" t="n">
        <x:v>26000</x:v>
      </x:c>
      <x:c r="E25" s="1"/>
      <x:c r="F25" s="5" t="str">
        <x:v>Lease deposit returned at end</x:v>
      </x:c>
      <x:c r="G25" s="33" t="n">
        <x:v>50000</x:v>
      </x:c>
      <x:c r="H25" s="5" t="str">
        <x:v>USD</x:v>
      </x:c>
      <x:c r="I25" s="1"/>
      <x:c r="J25" s="1"/>
      <x:c r="K25" s="1"/>
      <x:c r="L25" s="1"/>
    </x:row>
    <x:row r="26" ht="22" customHeight="1">
      <x:c r="A26" s="1"/>
      <x:c r="B26" s="1"/>
      <x:c r="C26" s="1" t="str">
        <x:v>Low utilization</x:v>
      </x:c>
      <x:c r="D26" s="19" t="n">
        <x:v>22000</x:v>
      </x:c>
      <x:c r="E26" s="1"/>
      <x:c r="F26" s="1"/>
      <x:c r="G26" s="1"/>
      <x:c r="H26" s="1"/>
      <x:c r="I26" s="1"/>
      <x:c r="J26" s="1"/>
      <x:c r="K26" s="1"/>
      <x:c r="L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</x:row>
    <x:row r="28" ht="22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</x:row>
    <x:row r="29" ht="22" customHeight="1">
      <x:c r="A29" s="1"/>
      <x:c r="B29" s="1"/>
      <x:c r="C29" s="1"/>
      <x:c r="D29" s="1"/>
      <x:c r="E29" s="1"/>
      <x:c r="F29" s="1" t="str">
        <x:v>Replacement incremental NPV sensitivity</x:v>
      </x:c>
      <x:c r="G29" s="1"/>
      <x:c r="H29" s="1"/>
      <x:c r="I29" s="1"/>
      <x:c r="J29" s="1"/>
      <x:c r="K29" s="1"/>
      <x:c r="L29" s="1"/>
    </x:row>
    <x:row r="30" ht="22" customHeight="1">
      <x:c r="A30" s="1"/>
      <x:c r="B30" s="1"/>
      <x:c r="C30" s="1"/>
      <x:c r="D30" s="1"/>
      <x:c r="E30" s="1"/>
      <x:c r="F30" s="1"/>
      <x:c r="G30" s="1" t="str">
        <x:v>Discount rate across / maintenance below</x:v>
      </x:c>
      <x:c r="H30" s="1"/>
      <x:c r="I30" s="1"/>
      <x:c r="J30" s="1"/>
      <x:c r="K30" s="1"/>
      <x:c r="L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</x:row>
    <x:row r="32" ht="22" customHeight="1">
      <x:c r="A32" s="1"/>
      <x:c r="B32" s="1"/>
      <x:c r="C32" s="1"/>
      <x:c r="D32" s="1"/>
      <x:c r="E32" s="1"/>
      <x:c r="F32" s="1"/>
      <x:c r="G32" s="26" t="n">
        <x:f>'Summary'!F8</x:f>
        <x:v>227521.89498527115</x:v>
      </x:c>
      <x:c r="H32" s="32" t="n">
        <x:v>0.06</x:v>
      </x:c>
      <x:c r="I32" s="32" t="n">
        <x:v>0.08</x:v>
      </x:c>
      <x:c r="J32" s="32" t="n">
        <x:v>0.1</x:v>
      </x:c>
      <x:c r="K32" s="1"/>
      <x:c r="L32" s="1"/>
    </x:row>
    <x:row r="33" ht="22" customHeight="1">
      <x:c r="A33" s="1"/>
      <x:c r="B33" s="1"/>
      <x:c r="C33" s="1"/>
      <x:c r="D33" s="1"/>
      <x:c r="E33" s="1"/>
      <x:c r="F33" s="1"/>
      <x:c r="G33" s="25" t="n">
        <x:v>18000</x:v>
      </x:c>
      <x:c r="H33" s="25" t="n">
        <x:f t="dataTable" ref="H33:J35" dt2D="1" r1="D8" r2="D23"/>
        <x:v>202897.48503772728</x:v>
      </x:c>
      <x:c r="I33" s="25" t="n">
        <x:v>151555.57904642937</x:v>
      </x:c>
      <x:c r="J33" s="25" t="n">
        <x:v>104642.04795561638</x:v>
      </x:c>
      <x:c r="K33" s="1"/>
      <x:c r="L33" s="1"/>
    </x:row>
    <x:row r="34" ht="22" customHeight="1">
      <x:c r="A34" s="1"/>
      <x:c r="B34" s="1"/>
      <x:c r="C34" s="1"/>
      <x:c r="D34" s="1"/>
      <x:c r="E34" s="1"/>
      <x:c r="F34" s="1"/>
      <x:c r="G34" s="25" t="n">
        <x:v>22000</x:v>
      </x:c>
      <x:c r="H34" s="25" t="n">
        <x:v>283131.2690702826</x:v>
      </x:c>
      <x:c r="I34" s="25" t="n">
        <x:v>227521.89498527115</x:v>
      </x:c>
      <x:c r="J34" s="25" t="n">
        <x:v>176688.85001210799</x:v>
      </x:c>
      <x:c r="K34" s="1"/>
      <x:c r="L34" s="1"/>
    </x:row>
    <x:row r="35" ht="22" customHeight="1">
      <x:c r="A35" s="1"/>
      <x:c r="B35" s="1"/>
      <x:c r="C35" s="1"/>
      <x:c r="D35" s="1"/>
      <x:c r="E35" s="1"/>
      <x:c r="F35" s="1"/>
      <x:c r="G35" s="25" t="n">
        <x:v>26000</x:v>
      </x:c>
      <x:c r="H35" s="25" t="n">
        <x:v>363365.05310283764</x:v>
      </x:c>
      <x:c r="I35" s="25" t="n">
        <x:v>303488.2109241134</x:v>
      </x:c>
      <x:c r="J35" s="25" t="n">
        <x:v>248735.65206859936</x:v>
      </x:c>
      <x:c r="K35" s="1"/>
      <x:c r="L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</x:row>
    <x:row r="38" ht="22" customHeight="1">
      <x:c r="A38" s="1"/>
      <x:c r="B38" s="1"/>
      <x:c r="C38" s="5" t="str">
        <x:v>Synthetic appraisal. Tax basis, transition and lease mileage are explicit.</x:v>
      </x:c>
      <x:c r="D38" s="5"/>
      <x:c r="E38" s="5"/>
      <x:c r="F38" s="5"/>
      <x:c r="G38" s="5"/>
      <x:c r="H38" s="5"/>
      <x:c r="I38" s="5"/>
      <x:c r="J38" s="5"/>
      <x:c r="K38" s="5"/>
      <x:c r="L38" s="1"/>
    </x:row>
    <x:row r="39" ht="22" customHeight="1">
      <x:c r="A39" s="1"/>
      <x:c r="B39" s="1"/>
      <x:c r="C39" s="5"/>
      <x:c r="D39" s="5"/>
      <x:c r="E39" s="5"/>
      <x:c r="F39" s="5"/>
      <x:c r="G39" s="5"/>
      <x:c r="H39" s="5"/>
      <x:c r="I39" s="5"/>
      <x:c r="J39" s="5"/>
      <x:c r="K39" s="5"/>
      <x:c r="L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</x:row>
    <x:row r="43" ht="15" hidden="0" customHeight="1">
      <x:c r="A43" s="1"/>
      <x:c r="B43" s="1"/>
      <x:c r="C43" s="1"/>
      <x:c r="D43" s="1"/>
      <x:c r="E43" s="1"/>
      <x:c r="F43" s="23" t="str">
        <x:v>Expanded driver</x:v>
      </x:c>
      <x:c r="G43" s="23" t="str">
        <x:v>Value</x:v>
      </x:c>
      <x:c r="H43" s="23" t="str">
        <x:v>Synthetic assumption</x:v>
      </x:c>
      <x:c r="I43" s="44" t="str">
        <x:v>Validated value</x:v>
      </x:c>
      <x:c r="J43" s="1"/>
      <x:c r="K43" s="1"/>
      <x:c r="L43" s="1"/>
    </x:row>
    <x:row r="44" ht="26.399999618530273" hidden="0" customHeight="1">
      <x:c r="A44" s="1"/>
      <x:c r="B44" s="1"/>
      <x:c r="C44" s="1"/>
      <x:c r="D44" s="1"/>
      <x:c r="E44" s="1"/>
      <x:c r="F44" s="5" t="str">
        <x:v>Tax rate</x:v>
      </x:c>
      <x:c r="G44" s="34" t="n">
        <x:v>0.25</x:v>
      </x:c>
      <x:c r="H44" s="5" t="str">
        <x:v>Immediate use of deductions assumed</x:v>
      </x:c>
      <x:c r="I44" s="8" t="n">
        <x:f>IF(AND(ISNUMBER(G44),G44&gt;=0,G44&lt;=1),G44,NA())</x:f>
        <x:v>0.25</x:v>
      </x:c>
      <x:c r="J44" s="1"/>
      <x:c r="K44" s="1"/>
      <x:c r="L44" s="1"/>
    </x:row>
    <x:row r="45" ht="15" hidden="0" customHeight="1">
      <x:c r="A45" s="1"/>
      <x:c r="B45" s="1"/>
      <x:c r="C45" s="1"/>
      <x:c r="D45" s="1"/>
      <x:c r="E45" s="1"/>
      <x:c r="F45" s="5" t="str">
        <x:v>Old tax basis / vehicle</x:v>
      </x:c>
      <x:c r="G45" s="33" t="n">
        <x:v>15000</x:v>
      </x:c>
      <x:c r="H45" s="5" t="str">
        <x:v>Remaining depreciable basis</x:v>
      </x:c>
      <x:c r="I45" s="18" t="n">
        <x:f>IF(AND(ISNUMBER(G45),G45&gt;=0),G45,NA())</x:f>
        <x:v>15000</x:v>
      </x:c>
      <x:c r="J45" s="1"/>
      <x:c r="K45" s="1"/>
      <x:c r="L45" s="1"/>
    </x:row>
    <x:row r="46" ht="26.399999618530273" hidden="0" customHeight="1">
      <x:c r="A46" s="1"/>
      <x:c r="B46" s="1"/>
      <x:c r="C46" s="1"/>
      <x:c r="D46" s="1"/>
      <x:c r="E46" s="1"/>
      <x:c r="F46" s="5" t="str">
        <x:v>New tax residual / vehicle</x:v>
      </x:c>
      <x:c r="G46" s="33" t="n">
        <x:v>0</x:v>
      </x:c>
      <x:c r="H46" s="5" t="str">
        <x:v>Five-year straight-line tax depreciation</x:v>
      </x:c>
      <x:c r="I46" s="18" t="n">
        <x:f>IF(AND(ISNUMBER(G46),G46&gt;=0),G46,NA())</x:f>
        <x:v>0</x:v>
      </x:c>
      <x:c r="J46" s="1"/>
      <x:c r="K46" s="1"/>
      <x:c r="L46" s="1"/>
    </x:row>
    <x:row r="47" ht="26.399999618530273" hidden="0" customHeight="1">
      <x:c r="A47" s="1"/>
      <x:c r="B47" s="1"/>
      <x:c r="C47" s="1"/>
      <x:c r="D47" s="1"/>
      <x:c r="E47" s="1"/>
      <x:c r="F47" s="5" t="str">
        <x:v>Transition cash / vehicle</x:v>
      </x:c>
      <x:c r="G47" s="33" t="n">
        <x:v>4000</x:v>
      </x:c>
      <x:c r="H47" s="5" t="str">
        <x:v>Replacement / lease commissioning; deductible</x:v>
      </x:c>
      <x:c r="I47" s="18" t="n">
        <x:f>IF(AND(ISNUMBER(G47),G47&gt;=0),G47,NA())</x:f>
        <x:v>4000</x:v>
      </x:c>
      <x:c r="J47" s="1"/>
      <x:c r="K47" s="1"/>
      <x:c r="L47" s="1"/>
    </x:row>
    <x:row r="48" ht="15" hidden="0" customHeight="1">
      <x:c r="A48" s="1"/>
      <x:c r="B48" s="1"/>
      <x:c r="C48" s="1"/>
      <x:c r="D48" s="1"/>
      <x:c r="E48" s="1"/>
      <x:c r="F48" s="5" t="str">
        <x:v>Lease included miles / vehicle</x:v>
      </x:c>
      <x:c r="G48" s="41" t="n">
        <x:v>65000</x:v>
      </x:c>
      <x:c r="H48" s="5" t="str">
        <x:v>Annual allowance</x:v>
      </x:c>
      <x:c r="I48" s="46" t="n">
        <x:f>IF(AND(ISNUMBER(G48),G48&gt;=0),G48,NA())</x:f>
        <x:v>65000</x:v>
      </x:c>
      <x:c r="J48" s="1"/>
      <x:c r="K48" s="1"/>
      <x:c r="L48" s="1"/>
    </x:row>
    <x:row r="49" ht="15" hidden="0" customHeight="1">
      <x:c r="A49" s="1"/>
      <x:c r="B49" s="1"/>
      <x:c r="C49" s="1"/>
      <x:c r="D49" s="1"/>
      <x:c r="E49" s="1"/>
      <x:c r="F49" s="5" t="str">
        <x:v>Excess mileage charge</x:v>
      </x:c>
      <x:c r="G49" s="40" t="n">
        <x:v>0.2</x:v>
      </x:c>
      <x:c r="H49" s="5" t="str">
        <x:v>USD per excess mile</x:v>
      </x:c>
      <x:c r="I49" s="12" t="n">
        <x:f>IF(AND(ISNUMBER(G49),G49&gt;=0),G49,NA())</x:f>
        <x:v>0.2</x:v>
      </x:c>
      <x:c r="J49" s="1"/>
      <x:c r="K49" s="1"/>
      <x:c r="L49" s="1"/>
    </x:row>
    <x:row r="50" ht="15" hidden="0" customHeight="1">
      <x:c r="A50" s="1"/>
      <x:c r="B50" s="1"/>
      <x:c r="C50" s="1"/>
      <x:c r="D50" s="1"/>
      <x:c r="E50" s="1"/>
      <x:c r="F50" s="5" t="str">
        <x:v>Debt fraction of new purchase</x:v>
      </x:c>
      <x:c r="G50" s="34" t="n">
        <x:v>0.7</x:v>
      </x:c>
      <x:c r="H50" s="5" t="str">
        <x:v>Assumed loan; not approved</x:v>
      </x:c>
      <x:c r="I50" s="8" t="n">
        <x:f>IF(AND(ISNUMBER(G50),G50&gt;=0,G50&lt;=1),G50,NA())</x:f>
        <x:v>0.7</x:v>
      </x:c>
      <x:c r="J50" s="1"/>
      <x:c r="K50" s="1"/>
      <x:c r="L50" s="1"/>
    </x:row>
    <x:row r="51" ht="15" hidden="0" customHeight="1">
      <x:c r="A51" s="1"/>
      <x:c r="B51" s="1"/>
      <x:c r="C51" s="1"/>
      <x:c r="D51" s="1"/>
      <x:c r="E51" s="1"/>
      <x:c r="F51" s="5" t="str">
        <x:v>Annual debt rate</x:v>
      </x:c>
      <x:c r="G51" s="34" t="n">
        <x:v>0.075</x:v>
      </x:c>
      <x:c r="H51" s="5" t="str">
        <x:v>Five-year level principal</x:v>
      </x:c>
      <x:c r="I51" s="8" t="n">
        <x:f>IF(AND(ISNUMBER(G51),G51&gt;=0,G51&lt;=1),G51,NA())</x:f>
        <x:v>0.075</x:v>
      </x:c>
      <x:c r="J51" s="1"/>
      <x:c r="K51" s="1"/>
      <x:c r="L51" s="1"/>
    </x:row>
    <x:row r="52" ht="15" hidden="0" customHeight="1">
      <x:c r="A52" s="1"/>
      <x:c r="B52" s="1"/>
      <x:c r="C52" s="1"/>
      <x:c r="D52" s="1"/>
      <x:c r="E52" s="1"/>
      <x:c r="F52" s="5" t="str">
        <x:v>Debt origination fee</x:v>
      </x:c>
      <x:c r="G52" s="34" t="n">
        <x:v>0.01</x:v>
      </x:c>
      <x:c r="H52" s="5" t="str">
        <x:v>Upfront financing cost</x:v>
      </x:c>
      <x:c r="I52" s="8" t="n">
        <x:f>IF(AND(ISNUMBER(G52),G52&gt;=0,G52&lt;=1),G52,NA())</x:f>
        <x:v>0.01</x:v>
      </x:c>
      <x:c r="J52" s="1"/>
      <x:c r="K52" s="1"/>
      <x:c r="L52" s="1"/>
    </x:row>
    <x:row r="53" ht="15" hidden="0" customHeight="1">
      <x:c r="A53" s="1"/>
      <x:c r="B53" s="1"/>
      <x:c r="C53" s="1"/>
      <x:c r="D53" s="1"/>
      <x:c r="E53" s="1"/>
      <x:c r="F53" s="5" t="str">
        <x:v>Lease accounting discount</x:v>
      </x:c>
      <x:c r="G53" s="34" t="n">
        <x:v>0.075</x:v>
      </x:c>
      <x:c r="H53" s="5" t="str">
        <x:v>Annual end-of-year payments</x:v>
      </x:c>
      <x:c r="I53" s="8" t="n">
        <x:f>IF(AND(ISNUMBER(G53),G53&gt;=0,G53&lt;=1),G53,NA())</x:f>
        <x:v>0.075</x:v>
      </x:c>
      <x:c r="J53" s="1"/>
      <x:c r="K53" s="1"/>
      <x:c r="L53" s="1"/>
    </x:row>
    <x:row r="54" ht="15" hidden="0" customHeight="1">
      <x:c r="A54" s="1"/>
      <x:c r="B54" s="1"/>
      <x:c r="C54" s="1"/>
      <x:c r="D54" s="1"/>
      <x:c r="E54" s="1"/>
      <x:c r="F54" s="5" t="str">
        <x:v>Lease non-deductible deposit</x:v>
      </x:c>
      <x:c r="G54" s="33" t="n">
        <x:v>50000</x:v>
      </x:c>
      <x:c r="H54" s="5" t="str">
        <x:v>Returned at year five</x:v>
      </x:c>
      <x:c r="I54" s="18" t="n">
        <x:f>IF(AND(ISNUMBER(G54),G54&gt;=0),G54,NA())</x:f>
        <x:v>50000</x:v>
      </x:c>
      <x:c r="J54" s="1"/>
      <x:c r="K54" s="1"/>
      <x:c r="L54" s="1"/>
    </x:row>
    <x:row r="55" ht="15" hidden="0" customHeight="1">
      <x:c r="A55" s="1"/>
      <x:c r="B55" s="1"/>
      <x:c r="C55" s="1"/>
      <x:c r="D55" s="1"/>
      <x:c r="E55" s="1"/>
      <x:c r="F55" s="5" t="str">
        <x:v>Tax depreciation years</x:v>
      </x:c>
      <x:c r="G55" s="42" t="n">
        <x:v>5</x:v>
      </x:c>
      <x:c r="H55" s="5" t="str">
        <x:v>No bonus depreciation</x:v>
      </x:c>
      <x:c r="I55" s="45" t="n">
        <x:f>IF(AND(ISNUMBER(G55),G55&gt;=0,MOD(G55,1)=0,G55&gt;0),G55,NA())</x:f>
        <x:v>5</x:v>
      </x:c>
      <x:c r="J55" s="1"/>
      <x:c r="K55" s="1"/>
      <x:c r="L55" s="1"/>
    </x:row>
    <x:row r="56" ht="15" hidden="0" customHeight="1">
      <x:c r="A56" s="1"/>
      <x:c r="B56" s="1"/>
      <x:c r="C56" s="1"/>
      <x:c r="D56" s="1"/>
      <x:c r="E56" s="1"/>
      <x:c r="F56" s="5" t="str">
        <x:v>Transition deduction fraction</x:v>
      </x:c>
      <x:c r="G56" s="34" t="n">
        <x:v>1</x:v>
      </x:c>
      <x:c r="H56" s="5" t="str">
        <x:v>Sensitivity input</x:v>
      </x:c>
      <x:c r="I56" s="8" t="n">
        <x:f>IF(AND(ISNUMBER(G56),G56&gt;=0,G56&lt;=1),G56,NA())</x:f>
        <x:v>1</x:v>
      </x:c>
      <x:c r="J56" s="1"/>
      <x:c r="K56" s="1"/>
      <x:c r="L56" s="1"/>
    </x:row>
    <x:row r="57" ht="15" hidden="0" customHeight="1">
      <x:c r="A57" s="1"/>
      <x:c r="B57" s="1"/>
      <x:c r="C57" s="1"/>
      <x:c r="D57" s="1"/>
      <x:c r="E57" s="1"/>
      <x:c r="F57" s="5" t="str">
        <x:v>Tax usable fraction</x:v>
      </x:c>
      <x:c r="G57" s="34" t="n">
        <x:v>1</x:v>
      </x:c>
      <x:c r="H57" s="5" t="str">
        <x:v>Set zero when deductions unusable</x:v>
      </x:c>
      <x:c r="I57" s="8" t="n">
        <x:f>IF(AND(ISNUMBER(G57),G57&gt;=0,G57&lt;=1),G57,NA())</x:f>
        <x:v>1</x:v>
      </x:c>
      <x:c r="J57" s="1"/>
      <x:c r="K57" s="1"/>
      <x:c r="L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</x:row>
  </x:sheetData>
  <x:mergeCells>
    <x:mergeCell ref="F5:K6"/>
    <x:mergeCell ref="C38:K39"/>
    <x:mergeCell ref="G30:K30"/>
  </x:mergeCells>
  <x:dataValidations count="1">
    <x:dataValidation type="list" sqref="D5">
      <x:formula1>"1,2,3"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42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Pre-tax operating cash flows</x:v>
      </x:c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1"/>
      <x:c r="B4" s="1"/>
      <x:c r="C4" s="1" t="str">
        <x:v>Case selected</x:v>
      </x:c>
      <x:c r="D4" s="7" t="str">
        <x:f>'Assumptions'!D4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/>
      <x:c r="B6" s="1"/>
      <x:c r="C6" s="1"/>
      <x:c r="D6" s="4" t="n">
        <x:v>0</x:v>
      </x:c>
      <x:c r="E6" s="4" t="n">
        <x:v>1</x:v>
      </x:c>
      <x:c r="F6" s="4" t="n">
        <x:v>2</x:v>
      </x:c>
      <x:c r="G6" s="4" t="n">
        <x:v>3</x:v>
      </x:c>
      <x:c r="H6" s="4" t="n">
        <x:v>4</x:v>
      </x:c>
      <x:c r="I6" s="4" t="n">
        <x:v>5</x:v>
      </x:c>
      <x:c r="J6" s="1"/>
      <x:c r="K6" s="1"/>
      <x:c r="L6" s="1"/>
    </x:row>
    <x:row r="7" ht="22" customHeight="1">
      <x:c r="A7" s="1"/>
      <x:c r="B7" s="1"/>
      <x:c r="C7" s="1" t="str">
        <x:v>Keep: maintenance</x:v>
      </x:c>
      <x:c r="D7" s="25"/>
      <x:c r="E7" s="26" t="n">
        <x:f>'Assumptions'!$G$9*'Assumptions'!$D$23*(1+'Assumptions'!$G$23)^(E$6-1)</x:f>
        <x:v>132000</x:v>
      </x:c>
      <x:c r="F7" s="26" t="n">
        <x:f>'Assumptions'!$G$9*'Assumptions'!$D$23*(1+'Assumptions'!$G$23)^(F$6-1)</x:f>
        <x:v>135960</x:v>
      </x:c>
      <x:c r="G7" s="26" t="n">
        <x:f>'Assumptions'!$G$9*'Assumptions'!$D$23*(1+'Assumptions'!$G$23)^(G$6-1)</x:f>
        <x:v>140038.8</x:v>
      </x:c>
      <x:c r="H7" s="26" t="n">
        <x:f>'Assumptions'!$G$9*'Assumptions'!$D$23*(1+'Assumptions'!$G$23)^(H$6-1)</x:f>
        <x:v>144239.964</x:v>
      </x:c>
      <x:c r="I7" s="26" t="n">
        <x:f>'Assumptions'!$G$9*'Assumptions'!$D$23*(1+'Assumptions'!$G$23)^(I$6-1)</x:f>
        <x:v>148567.16292000003</x:v>
      </x:c>
      <x:c r="J7" s="1"/>
      <x:c r="K7" s="1"/>
      <x:c r="L7" s="1"/>
    </x:row>
    <x:row r="8" ht="22" customHeight="1">
      <x:c r="A8" s="1"/>
      <x:c r="B8" s="1"/>
      <x:c r="C8" s="1" t="str">
        <x:v>Keep: fuel</x:v>
      </x:c>
      <x:c r="D8" s="25"/>
      <x:c r="E8" s="26" t="n">
        <x:f>'Assumptions'!$G$9*'Assumptions'!$D$18/'Assumptions'!$G$14*'Assumptions'!$D$13*(1+'Assumptions'!$G$23)^(E$6-1)</x:f>
        <x:v>280000</x:v>
      </x:c>
      <x:c r="F8" s="26" t="n">
        <x:f>'Assumptions'!$G$9*'Assumptions'!$D$18/'Assumptions'!$G$14*'Assumptions'!$D$13*(1+'Assumptions'!$G$23)^(F$6-1)</x:f>
        <x:v>288400</x:v>
      </x:c>
      <x:c r="G8" s="26" t="n">
        <x:f>'Assumptions'!$G$9*'Assumptions'!$D$18/'Assumptions'!$G$14*'Assumptions'!$D$13*(1+'Assumptions'!$G$23)^(G$6-1)</x:f>
        <x:v>297052</x:v>
      </x:c>
      <x:c r="H8" s="26" t="n">
        <x:f>'Assumptions'!$G$9*'Assumptions'!$D$18/'Assumptions'!$G$14*'Assumptions'!$D$13*(1+'Assumptions'!$G$23)^(H$6-1)</x:f>
        <x:v>305963.56</x:v>
      </x:c>
      <x:c r="I8" s="26" t="n">
        <x:f>'Assumptions'!$G$9*'Assumptions'!$D$18/'Assumptions'!$G$14*'Assumptions'!$D$13*(1+'Assumptions'!$G$23)^(I$6-1)</x:f>
        <x:v>315142.46680000005</x:v>
      </x:c>
      <x:c r="J8" s="1"/>
      <x:c r="K8" s="1"/>
      <x:c r="L8" s="1"/>
    </x:row>
    <x:row r="9" ht="22" customHeight="1">
      <x:c r="A9" s="1"/>
      <x:c r="B9" s="1"/>
      <x:c r="C9" s="1" t="str">
        <x:v>Keep: downtime</x:v>
      </x:c>
      <x:c r="D9" s="25"/>
      <x:c r="E9" s="26" t="n">
        <x:f>'Assumptions'!$G$9*'Assumptions'!$G$17*'Assumptions'!$G$19*(1+'Assumptions'!$G$23)^(E$6-1)</x:f>
        <x:v>129600</x:v>
      </x:c>
      <x:c r="F9" s="26" t="n">
        <x:f>'Assumptions'!$G$9*'Assumptions'!$G$17*'Assumptions'!$G$19*(1+'Assumptions'!$G$23)^(F$6-1)</x:f>
        <x:v>133488</x:v>
      </x:c>
      <x:c r="G9" s="26" t="n">
        <x:f>'Assumptions'!$G$9*'Assumptions'!$G$17*'Assumptions'!$G$19*(1+'Assumptions'!$G$23)^(G$6-1)</x:f>
        <x:v>137492.63999999998</x:v>
      </x:c>
      <x:c r="H9" s="26" t="n">
        <x:f>'Assumptions'!$G$9*'Assumptions'!$G$17*'Assumptions'!$G$19*(1+'Assumptions'!$G$23)^(H$6-1)</x:f>
        <x:v>141617.4192</x:v>
      </x:c>
      <x:c r="I9" s="26" t="n">
        <x:f>'Assumptions'!$G$9*'Assumptions'!$G$17*'Assumptions'!$G$19*(1+'Assumptions'!$G$23)^(I$6-1)</x:f>
        <x:v>145865.94177600002</x:v>
      </x:c>
      <x:c r="J9" s="1"/>
      <x:c r="K9" s="1"/>
      <x:c r="L9" s="1"/>
    </x:row>
    <x:row r="10" ht="22" customHeight="1">
      <x:c r="A10" s="1"/>
      <x:c r="B10" s="1"/>
      <x:c r="C10" s="1" t="str">
        <x:v>Keep: total outflow</x:v>
      </x:c>
      <x:c r="D10" s="25"/>
      <x:c r="E10" s="18" t="n">
        <x:f>SUM(E7:E9)</x:f>
        <x:v>541600</x:v>
      </x:c>
      <x:c r="F10" s="18" t="n">
        <x:f>SUM(F7:F9)</x:f>
        <x:v>557848</x:v>
      </x:c>
      <x:c r="G10" s="18" t="n">
        <x:f>SUM(G7:G9)</x:f>
        <x:v>574583.44</x:v>
      </x:c>
      <x:c r="H10" s="18" t="n">
        <x:f>SUM(H7:H9)</x:f>
        <x:v>591820.9432</x:v>
      </x:c>
      <x:c r="I10" s="18" t="n">
        <x:f>SUM(I7:I9)</x:f>
        <x:v>609575.571496</x:v>
      </x:c>
      <x:c r="J10" s="1"/>
      <x:c r="K10" s="1"/>
      <x:c r="L10" s="1"/>
    </x:row>
    <x:row r="11" ht="22" customHeight="1">
      <x:c r="A11" s="1"/>
      <x:c r="B11" s="1"/>
      <x:c r="C11" s="1" t="str">
        <x:v>Keep: residual receipt</x:v>
      </x:c>
      <x:c r="D11" s="25"/>
      <x:c r="E11" s="18" t="n">
        <x:f>0</x:f>
        <x:v>0</x:v>
      </x:c>
      <x:c r="F11" s="18" t="n">
        <x:f>0</x:f>
        <x:v>0</x:v>
      </x:c>
      <x:c r="G11" s="18" t="n">
        <x:f>0</x:f>
        <x:v>0</x:v>
      </x:c>
      <x:c r="H11" s="18" t="n">
        <x:f>0</x:f>
        <x:v>0</x:v>
      </x:c>
      <x:c r="I11" s="26" t="n">
        <x:f>'Assumptions'!G9*'Assumptions'!G12</x:f>
        <x:v>42000</x:v>
      </x:c>
      <x:c r="J11" s="1"/>
      <x:c r="K11" s="1"/>
      <x:c r="L11" s="1"/>
    </x:row>
    <x:row r="12" ht="22" customHeight="1">
      <x:c r="A12" s="1"/>
      <x:c r="B12" s="1"/>
      <x:c r="C12" s="1" t="str">
        <x:v>Keep: net cash flow</x:v>
      </x:c>
      <x:c r="D12" s="18" t="n">
        <x:f>0</x:f>
        <x:v>0</x:v>
      </x:c>
      <x:c r="E12" s="18" t="n">
        <x:f>-E10+E11</x:f>
        <x:v>-541600</x:v>
      </x:c>
      <x:c r="F12" s="18" t="n">
        <x:f>-F10+F11</x:f>
        <x:v>-557848</x:v>
      </x:c>
      <x:c r="G12" s="18" t="n">
        <x:f>-G10+G11</x:f>
        <x:v>-574583.44</x:v>
      </x:c>
      <x:c r="H12" s="18" t="n">
        <x:f>-H10+H11</x:f>
        <x:v>-591820.9432</x:v>
      </x:c>
      <x:c r="I12" s="18" t="n">
        <x:f>-I10+I11</x:f>
        <x:v>-567575.571496</x:v>
      </x:c>
      <x:c r="J12" s="1"/>
      <x:c r="K12" s="1"/>
      <x:c r="L12" s="1"/>
    </x:row>
    <x:row r="13" ht="22" customHeight="1">
      <x:c r="A13" s="1"/>
      <x:c r="B13" s="1"/>
      <x:c r="C13" s="1"/>
      <x:c r="D13" s="25"/>
      <x:c r="E13" s="25"/>
      <x:c r="F13" s="25"/>
      <x:c r="G13" s="25"/>
      <x:c r="H13" s="25"/>
      <x:c r="I13" s="25"/>
      <x:c r="J13" s="1"/>
      <x:c r="K13" s="1"/>
      <x:c r="L13" s="1"/>
    </x:row>
    <x:row r="14" ht="22" customHeight="1">
      <x:c r="A14" s="1"/>
      <x:c r="B14" s="1"/>
      <x:c r="C14" s="1"/>
      <x:c r="D14" s="25"/>
      <x:c r="E14" s="25"/>
      <x:c r="F14" s="25"/>
      <x:c r="G14" s="25"/>
      <x:c r="H14" s="25"/>
      <x:c r="I14" s="25"/>
      <x:c r="J14" s="1"/>
      <x:c r="K14" s="1"/>
      <x:c r="L14" s="1"/>
    </x:row>
    <x:row r="15" ht="22" customHeight="1">
      <x:c r="A15" s="1"/>
      <x:c r="B15" s="1"/>
      <x:c r="C15" s="1" t="str">
        <x:v>Replace: maintenance</x:v>
      </x:c>
      <x:c r="D15" s="25"/>
      <x:c r="E15" s="26" t="n">
        <x:f>'Assumptions'!$G$9*'Assumptions'!$G$16*(1+'Assumptions'!$G$23)^(E$6-1)</x:f>
        <x:v>54000</x:v>
      </x:c>
      <x:c r="F15" s="26" t="n">
        <x:f>'Assumptions'!$G$9*'Assumptions'!$G$16*(1+'Assumptions'!$G$23)^(F$6-1)</x:f>
        <x:v>55620</x:v>
      </x:c>
      <x:c r="G15" s="26" t="n">
        <x:f>'Assumptions'!$G$9*'Assumptions'!$G$16*(1+'Assumptions'!$G$23)^(G$6-1)</x:f>
        <x:v>57288.6</x:v>
      </x:c>
      <x:c r="H15" s="26" t="n">
        <x:f>'Assumptions'!$G$9*'Assumptions'!$G$16*(1+'Assumptions'!$G$23)^(H$6-1)</x:f>
        <x:v>59007.258</x:v>
      </x:c>
      <x:c r="I15" s="26" t="n">
        <x:f>'Assumptions'!$G$9*'Assumptions'!$G$16*(1+'Assumptions'!$G$23)^(I$6-1)</x:f>
        <x:v>60777.47574000001</x:v>
      </x:c>
      <x:c r="J15" s="1"/>
      <x:c r="K15" s="1"/>
      <x:c r="L15" s="1"/>
    </x:row>
    <x:row r="16" ht="22" customHeight="1">
      <x:c r="A16" s="1"/>
      <x:c r="B16" s="1"/>
      <x:c r="C16" s="1" t="str">
        <x:v>Replace: fuel</x:v>
      </x:c>
      <x:c r="D16" s="25"/>
      <x:c r="E16" s="26" t="n">
        <x:f>'Assumptions'!$G$9*'Assumptions'!$D$18/'Assumptions'!$G$15*'Assumptions'!$D$13*(1+'Assumptions'!$G$23)^(E$6-1)</x:f>
        <x:v>233333.3333333333</x:v>
      </x:c>
      <x:c r="F16" s="26" t="n">
        <x:f>'Assumptions'!$G$9*'Assumptions'!$D$18/'Assumptions'!$G$15*'Assumptions'!$D$13*(1+'Assumptions'!$G$23)^(F$6-1)</x:f>
        <x:v>240333.3333333333</x:v>
      </x:c>
      <x:c r="G16" s="26" t="n">
        <x:f>'Assumptions'!$G$9*'Assumptions'!$D$18/'Assumptions'!$G$15*'Assumptions'!$D$13*(1+'Assumptions'!$G$23)^(G$6-1)</x:f>
        <x:v>247543.3333333333</x:v>
      </x:c>
      <x:c r="H16" s="26" t="n">
        <x:f>'Assumptions'!$G$9*'Assumptions'!$D$18/'Assumptions'!$G$15*'Assumptions'!$D$13*(1+'Assumptions'!$G$23)^(H$6-1)</x:f>
        <x:v>254969.6333333333</x:v>
      </x:c>
      <x:c r="I16" s="26" t="n">
        <x:f>'Assumptions'!$G$9*'Assumptions'!$D$18/'Assumptions'!$G$15*'Assumptions'!$D$13*(1+'Assumptions'!$G$23)^(I$6-1)</x:f>
        <x:v>262618.72233333334</x:v>
      </x:c>
      <x:c r="J16" s="1"/>
      <x:c r="K16" s="1"/>
      <x:c r="L16" s="1"/>
    </x:row>
    <x:row r="17" ht="22" customHeight="1">
      <x:c r="A17" s="1"/>
      <x:c r="B17" s="1"/>
      <x:c r="C17" s="1" t="str">
        <x:v>Replace: downtime</x:v>
      </x:c>
      <x:c r="D17" s="25"/>
      <x:c r="E17" s="26" t="n">
        <x:f>'Assumptions'!$G$9*'Assumptions'!$G$18*'Assumptions'!$G$19*(1+'Assumptions'!$G$23)^(E$6-1)</x:f>
        <x:v>43200</x:v>
      </x:c>
      <x:c r="F17" s="26" t="n">
        <x:f>'Assumptions'!$G$9*'Assumptions'!$G$18*'Assumptions'!$G$19*(1+'Assumptions'!$G$23)^(F$6-1)</x:f>
        <x:v>44496</x:v>
      </x:c>
      <x:c r="G17" s="26" t="n">
        <x:f>'Assumptions'!$G$9*'Assumptions'!$G$18*'Assumptions'!$G$19*(1+'Assumptions'!$G$23)^(G$6-1)</x:f>
        <x:v>45830.88</x:v>
      </x:c>
      <x:c r="H17" s="26" t="n">
        <x:f>'Assumptions'!$G$9*'Assumptions'!$G$18*'Assumptions'!$G$19*(1+'Assumptions'!$G$23)^(H$6-1)</x:f>
        <x:v>47205.8064</x:v>
      </x:c>
      <x:c r="I17" s="26" t="n">
        <x:f>'Assumptions'!$G$9*'Assumptions'!$G$18*'Assumptions'!$G$19*(1+'Assumptions'!$G$23)^(I$6-1)</x:f>
        <x:v>48621.98059200001</x:v>
      </x:c>
      <x:c r="J17" s="1"/>
      <x:c r="K17" s="1"/>
      <x:c r="L17" s="1"/>
    </x:row>
    <x:row r="18" ht="22" customHeight="1">
      <x:c r="A18" s="1"/>
      <x:c r="B18" s="1"/>
      <x:c r="C18" s="1" t="str">
        <x:v>Replace: total outflow</x:v>
      </x:c>
      <x:c r="D18" s="25"/>
      <x:c r="E18" s="18" t="n">
        <x:f>SUM(E15:E17)</x:f>
        <x:v>330533.3333333333</x:v>
      </x:c>
      <x:c r="F18" s="18" t="n">
        <x:f>SUM(F15:F17)</x:f>
        <x:v>340449.3333333333</x:v>
      </x:c>
      <x:c r="G18" s="18" t="n">
        <x:f>SUM(G15:G17)</x:f>
        <x:v>350662.8133333333</x:v>
      </x:c>
      <x:c r="H18" s="18" t="n">
        <x:f>SUM(H15:H17)</x:f>
        <x:v>361182.69773333333</x:v>
      </x:c>
      <x:c r="I18" s="18" t="n">
        <x:f>SUM(I15:I17)</x:f>
        <x:v>372018.17866533337</x:v>
      </x:c>
      <x:c r="J18" s="1"/>
      <x:c r="K18" s="1"/>
      <x:c r="L18" s="1"/>
    </x:row>
    <x:row r="19" ht="22" customHeight="1">
      <x:c r="A19" s="1"/>
      <x:c r="B19" s="1"/>
      <x:c r="C19" s="1" t="str">
        <x:v>Replace: residual receipt</x:v>
      </x:c>
      <x:c r="D19" s="25"/>
      <x:c r="E19" s="18" t="n">
        <x:f>0</x:f>
        <x:v>0</x:v>
      </x:c>
      <x:c r="F19" s="18" t="n">
        <x:f>0</x:f>
        <x:v>0</x:v>
      </x:c>
      <x:c r="G19" s="18" t="n">
        <x:f>0</x:f>
        <x:v>0</x:v>
      </x:c>
      <x:c r="H19" s="18" t="n">
        <x:f>0</x:f>
        <x:v>0</x:v>
      </x:c>
      <x:c r="I19" s="26" t="n">
        <x:f>'Assumptions'!G9*'Assumptions'!G13</x:f>
        <x:v>252000</x:v>
      </x:c>
      <x:c r="J19" s="1"/>
      <x:c r="K19" s="1"/>
      <x:c r="L19" s="1"/>
    </x:row>
    <x:row r="20" ht="22" customHeight="1">
      <x:c r="A20" s="1"/>
      <x:c r="B20" s="1"/>
      <x:c r="C20" s="1" t="str">
        <x:v>Replace: net cash flow</x:v>
      </x:c>
      <x:c r="D20" s="26" t="n">
        <x:f>-'Assumptions'!G9*('Assumptions'!G10-'Assumptions'!G11)</x:f>
        <x:v>-660000</x:v>
      </x:c>
      <x:c r="E20" s="18" t="n">
        <x:f>-E18+E19</x:f>
        <x:v>-330533.3333333333</x:v>
      </x:c>
      <x:c r="F20" s="18" t="n">
        <x:f>-F18+F19</x:f>
        <x:v>-340449.3333333333</x:v>
      </x:c>
      <x:c r="G20" s="18" t="n">
        <x:f>-G18+G19</x:f>
        <x:v>-350662.8133333333</x:v>
      </x:c>
      <x:c r="H20" s="18" t="n">
        <x:f>-H18+H19</x:f>
        <x:v>-361182.69773333333</x:v>
      </x:c>
      <x:c r="I20" s="18" t="n">
        <x:f>-I18+I19</x:f>
        <x:v>-120018.17866533337</x:v>
      </x:c>
      <x:c r="J20" s="1"/>
      <x:c r="K20" s="1"/>
      <x:c r="L20" s="1"/>
    </x:row>
    <x:row r="21" ht="22" customHeight="1">
      <x:c r="A21" s="1"/>
      <x:c r="B21" s="1"/>
      <x:c r="C21" s="1"/>
      <x:c r="D21" s="25"/>
      <x:c r="E21" s="25"/>
      <x:c r="F21" s="25"/>
      <x:c r="G21" s="25"/>
      <x:c r="H21" s="25"/>
      <x:c r="I21" s="25"/>
      <x:c r="J21" s="1"/>
      <x:c r="K21" s="1"/>
      <x:c r="L21" s="1"/>
    </x:row>
    <x:row r="22" ht="22" customHeight="1">
      <x:c r="A22" s="1"/>
      <x:c r="B22" s="1"/>
      <x:c r="C22" s="1"/>
      <x:c r="D22" s="25"/>
      <x:c r="E22" s="25"/>
      <x:c r="F22" s="25"/>
      <x:c r="G22" s="25"/>
      <x:c r="H22" s="25"/>
      <x:c r="I22" s="25"/>
      <x:c r="J22" s="1"/>
      <x:c r="K22" s="1"/>
      <x:c r="L22" s="1"/>
    </x:row>
    <x:row r="23" ht="22" customHeight="1">
      <x:c r="A23" s="1"/>
      <x:c r="B23" s="1"/>
      <x:c r="C23" s="1" t="str">
        <x:v>Lease: rental</x:v>
      </x:c>
      <x:c r="D23" s="25"/>
      <x:c r="E23" s="26" t="n">
        <x:f>'Assumptions'!$G$9*'Assumptions'!$G$20*(1+'Assumptions'!$G$23)^(E$6-1)</x:f>
        <x:v>198000</x:v>
      </x:c>
      <x:c r="F23" s="26" t="n">
        <x:f>'Assumptions'!$G$9*'Assumptions'!$G$20*(1+'Assumptions'!$G$23)^(F$6-1)</x:f>
        <x:v>203940</x:v>
      </x:c>
      <x:c r="G23" s="26" t="n">
        <x:f>'Assumptions'!$G$9*'Assumptions'!$G$20*(1+'Assumptions'!$G$23)^(G$6-1)</x:f>
        <x:v>210058.19999999998</x:v>
      </x:c>
      <x:c r="H23" s="26" t="n">
        <x:f>'Assumptions'!$G$9*'Assumptions'!$G$20*(1+'Assumptions'!$G$23)^(H$6-1)</x:f>
        <x:v>216359.946</x:v>
      </x:c>
      <x:c r="I23" s="26" t="n">
        <x:f>'Assumptions'!$G$9*'Assumptions'!$G$20*(1+'Assumptions'!$G$23)^(I$6-1)</x:f>
        <x:v>222850.74438000002</x:v>
      </x:c>
      <x:c r="J23" s="1"/>
      <x:c r="K23" s="1"/>
      <x:c r="L23" s="1"/>
    </x:row>
    <x:row r="24" ht="22" customHeight="1">
      <x:c r="A24" s="1"/>
      <x:c r="B24" s="1"/>
      <x:c r="C24" s="1" t="str">
        <x:v>Lease: fuel</x:v>
      </x:c>
      <x:c r="D24" s="25"/>
      <x:c r="E24" s="18" t="n">
        <x:f>E16</x:f>
        <x:v>233333.3333333333</x:v>
      </x:c>
      <x:c r="F24" s="18" t="n">
        <x:f>F16</x:f>
        <x:v>240333.3333333333</x:v>
      </x:c>
      <x:c r="G24" s="18" t="n">
        <x:f>G16</x:f>
        <x:v>247543.3333333333</x:v>
      </x:c>
      <x:c r="H24" s="18" t="n">
        <x:f>H16</x:f>
        <x:v>254969.6333333333</x:v>
      </x:c>
      <x:c r="I24" s="18" t="n">
        <x:f>I16</x:f>
        <x:v>262618.72233333334</x:v>
      </x:c>
      <x:c r="J24" s="1"/>
      <x:c r="K24" s="1"/>
      <x:c r="L24" s="1"/>
    </x:row>
    <x:row r="25" ht="22" customHeight="1">
      <x:c r="A25" s="1"/>
      <x:c r="B25" s="1"/>
      <x:c r="C25" s="1" t="str">
        <x:v>Lease: downtime</x:v>
      </x:c>
      <x:c r="D25" s="25"/>
      <x:c r="E25" s="18" t="n">
        <x:f>E17</x:f>
        <x:v>43200</x:v>
      </x:c>
      <x:c r="F25" s="18" t="n">
        <x:f>F17</x:f>
        <x:v>44496</x:v>
      </x:c>
      <x:c r="G25" s="18" t="n">
        <x:f>G17</x:f>
        <x:v>45830.88</x:v>
      </x:c>
      <x:c r="H25" s="18" t="n">
        <x:f>H17</x:f>
        <x:v>47205.8064</x:v>
      </x:c>
      <x:c r="I25" s="18" t="n">
        <x:f>I17</x:f>
        <x:v>48621.98059200001</x:v>
      </x:c>
      <x:c r="J25" s="1"/>
      <x:c r="K25" s="1"/>
      <x:c r="L25" s="1"/>
    </x:row>
    <x:row r="26" ht="22" customHeight="1">
      <x:c r="A26" s="1"/>
      <x:c r="B26" s="1"/>
      <x:c r="C26" s="1" t="str">
        <x:v>Lease: total outflow</x:v>
      </x:c>
      <x:c r="D26" s="25"/>
      <x:c r="E26" s="18" t="n">
        <x:f>SUM(E23:E25)</x:f>
        <x:v>474533.3333333333</x:v>
      </x:c>
      <x:c r="F26" s="18" t="n">
        <x:f>SUM(F23:F25)</x:f>
        <x:v>488769.3333333333</x:v>
      </x:c>
      <x:c r="G26" s="18" t="n">
        <x:f>SUM(G23:G25)</x:f>
        <x:v>503432.41333333333</x:v>
      </x:c>
      <x:c r="H26" s="18" t="n">
        <x:f>SUM(H23:H25)</x:f>
        <x:v>518535.3857333333</x:v>
      </x:c>
      <x:c r="I26" s="18" t="n">
        <x:f>SUM(I23:I25)</x:f>
        <x:v>534091.4473053333</x:v>
      </x:c>
      <x:c r="J26" s="1"/>
      <x:c r="K26" s="1"/>
      <x:c r="L26" s="1"/>
    </x:row>
    <x:row r="27" ht="22" customHeight="1">
      <x:c r="A27" s="1"/>
      <x:c r="B27" s="1"/>
      <x:c r="C27" s="1" t="str">
        <x:v>Lease: returned deposit</x:v>
      </x:c>
      <x:c r="D27" s="25"/>
      <x:c r="E27" s="18" t="n">
        <x:f>0</x:f>
        <x:v>0</x:v>
      </x:c>
      <x:c r="F27" s="18" t="n">
        <x:f>0</x:f>
        <x:v>0</x:v>
      </x:c>
      <x:c r="G27" s="18" t="n">
        <x:f>0</x:f>
        <x:v>0</x:v>
      </x:c>
      <x:c r="H27" s="18" t="n">
        <x:f>0</x:f>
        <x:v>0</x:v>
      </x:c>
      <x:c r="I27" s="26" t="n">
        <x:f>'Assumptions'!G25</x:f>
        <x:v>50000</x:v>
      </x:c>
      <x:c r="J27" s="1"/>
      <x:c r="K27" s="1"/>
      <x:c r="L27" s="1"/>
    </x:row>
    <x:row r="28" ht="22" customHeight="1">
      <x:c r="A28" s="1"/>
      <x:c r="B28" s="1"/>
      <x:c r="C28" s="1" t="str">
        <x:v>Lease: net cash flow</x:v>
      </x:c>
      <x:c r="D28" s="26" t="n">
        <x:f>'Assumptions'!G9*'Assumptions'!G11-'Assumptions'!G21</x:f>
        <x:v>70000</x:v>
      </x:c>
      <x:c r="E28" s="18" t="n">
        <x:f>-E26+E27</x:f>
        <x:v>-474533.3333333333</x:v>
      </x:c>
      <x:c r="F28" s="18" t="n">
        <x:f>-F26+F27</x:f>
        <x:v>-488769.3333333333</x:v>
      </x:c>
      <x:c r="G28" s="18" t="n">
        <x:f>-G26+G27</x:f>
        <x:v>-503432.41333333333</x:v>
      </x:c>
      <x:c r="H28" s="18" t="n">
        <x:f>-H26+H27</x:f>
        <x:v>-518535.3857333333</x:v>
      </x:c>
      <x:c r="I28" s="18" t="n">
        <x:f>-I26+I27</x:f>
        <x:v>-484091.44730533333</x:v>
      </x:c>
      <x:c r="J28" s="1"/>
      <x:c r="K28" s="1"/>
      <x:c r="L28" s="1"/>
    </x:row>
    <x:row r="29" ht="22" customHeight="1">
      <x:c r="A29" s="1"/>
      <x:c r="B29" s="1"/>
      <x:c r="C29" s="1"/>
      <x:c r="D29" s="25"/>
      <x:c r="E29" s="25"/>
      <x:c r="F29" s="25"/>
      <x:c r="G29" s="25"/>
      <x:c r="H29" s="25"/>
      <x:c r="I29" s="25"/>
      <x:c r="J29" s="1"/>
      <x:c r="K29" s="1"/>
      <x:c r="L29" s="1"/>
    </x:row>
    <x:row r="30" ht="22" customHeight="1">
      <x:c r="A30" s="1"/>
      <x:c r="B30" s="1"/>
      <x:c r="C30" s="1"/>
      <x:c r="D30" s="25"/>
      <x:c r="E30" s="25"/>
      <x:c r="F30" s="25"/>
      <x:c r="G30" s="25"/>
      <x:c r="H30" s="25"/>
      <x:c r="I30" s="25"/>
      <x:c r="J30" s="1"/>
      <x:c r="K30" s="1"/>
      <x:c r="L30" s="1"/>
    </x:row>
    <x:row r="31" ht="22" customHeight="1">
      <x:c r="A31" s="1"/>
      <x:c r="B31" s="1"/>
      <x:c r="C31" s="1" t="str">
        <x:v>Replace less keep: incremental CF</x:v>
      </x:c>
      <x:c r="D31" s="18" t="n">
        <x:f>D20-D12</x:f>
        <x:v>-660000</x:v>
      </x:c>
      <x:c r="E31" s="18" t="n">
        <x:f>E20-E12</x:f>
        <x:v>211066.6666666667</x:v>
      </x:c>
      <x:c r="F31" s="18" t="n">
        <x:f>F20-F12</x:f>
        <x:v>217398.6666666667</x:v>
      </x:c>
      <x:c r="G31" s="18" t="n">
        <x:f>G20-G12</x:f>
        <x:v>223920.62666666665</x:v>
      </x:c>
      <x:c r="H31" s="18" t="n">
        <x:f>H20-H12</x:f>
        <x:v>230638.24546666665</x:v>
      </x:c>
      <x:c r="I31" s="18" t="n">
        <x:f>I20-I12</x:f>
        <x:v>447557.3928306667</x:v>
      </x:c>
      <x:c r="J31" s="1"/>
      <x:c r="K31" s="1"/>
      <x:c r="L31" s="1"/>
    </x:row>
    <x:row r="32" ht="22" customHeight="1">
      <x:c r="A32" s="1"/>
      <x:c r="B32" s="1"/>
      <x:c r="C32" s="1" t="str">
        <x:v>Lease less keep: incremental CF</x:v>
      </x:c>
      <x:c r="D32" s="18" t="n">
        <x:f>D28-D12</x:f>
        <x:v>70000</x:v>
      </x:c>
      <x:c r="E32" s="18" t="n">
        <x:f>E28-E12</x:f>
        <x:v>67066.66666666669</x:v>
      </x:c>
      <x:c r="F32" s="18" t="n">
        <x:f>F28-F12</x:f>
        <x:v>69078.66666666669</x:v>
      </x:c>
      <x:c r="G32" s="18" t="n">
        <x:f>G28-G12</x:f>
        <x:v>71151.02666666661</x:v>
      </x:c>
      <x:c r="H32" s="18" t="n">
        <x:f>H28-H12</x:f>
        <x:v>73285.55746666668</x:v>
      </x:c>
      <x:c r="I32" s="18" t="n">
        <x:f>I28-I12</x:f>
        <x:v>83484.12419066671</x:v>
      </x:c>
      <x:c r="J32" s="1"/>
      <x:c r="K32" s="1"/>
      <x:c r="L32" s="1"/>
    </x:row>
    <x:row r="33" ht="22" customHeight="1">
      <x:c r="A33" s="1"/>
      <x:c r="B33" s="1"/>
      <x:c r="C33" s="1"/>
      <x:c r="D33" s="25"/>
      <x:c r="E33" s="25"/>
      <x:c r="F33" s="25"/>
      <x:c r="G33" s="25"/>
      <x:c r="H33" s="25"/>
      <x:c r="I33" s="25"/>
      <x:c r="J33" s="1"/>
      <x:c r="K33" s="1"/>
      <x:c r="L33" s="1"/>
    </x:row>
    <x:row r="34" ht="22" customHeight="1">
      <x:c r="A34" s="1"/>
      <x:c r="B34" s="1"/>
      <x:c r="C34" s="1" t="str">
        <x:v>Discount factor</x:v>
      </x:c>
      <x:c r="D34" s="27" t="n">
        <x:f>1/(1+'Assumptions'!$D$8)^D$6</x:f>
        <x:v>1</x:v>
      </x:c>
      <x:c r="E34" s="27" t="n">
        <x:f>1/(1+'Assumptions'!$D$8)^E$6</x:f>
        <x:v>0.9259259259259258</x:v>
      </x:c>
      <x:c r="F34" s="27" t="n">
        <x:f>1/(1+'Assumptions'!$D$8)^F$6</x:f>
        <x:v>0.8573388203017832</x:v>
      </x:c>
      <x:c r="G34" s="27" t="n">
        <x:f>1/(1+'Assumptions'!$D$8)^G$6</x:f>
        <x:v>0.7938322410201696</x:v>
      </x:c>
      <x:c r="H34" s="27" t="n">
        <x:f>1/(1+'Assumptions'!$D$8)^H$6</x:f>
        <x:v>0.7350298527964533</x:v>
      </x:c>
      <x:c r="I34" s="27" t="n">
        <x:f>1/(1+'Assumptions'!$D$8)^I$6</x:f>
        <x:v>0.6805831970337529</x:v>
      </x:c>
      <x:c r="J34" s="1"/>
      <x:c r="K34" s="1"/>
      <x:c r="L34" s="1"/>
    </x:row>
    <x:row r="35" ht="22" customHeight="1">
      <x:c r="A35" s="1"/>
      <x:c r="B35" s="1"/>
      <x:c r="C35" s="1" t="str">
        <x:v>Keep: present value</x:v>
      </x:c>
      <x:c r="D35" s="18" t="n">
        <x:f>D12*D34</x:f>
        <x:v>0</x:v>
      </x:c>
      <x:c r="E35" s="18" t="n">
        <x:f>E12*E34</x:f>
        <x:v>-501481.4814814814</x:v>
      </x:c>
      <x:c r="F35" s="18" t="n">
        <x:f>F12*F34</x:f>
        <x:v>-478264.74622770917</x:v>
      </x:c>
      <x:c r="G35" s="18" t="n">
        <x:f>G12*G34</x:f>
        <x:v>-456122.85982827813</x:v>
      </x:c>
      <x:c r="H35" s="18" t="n">
        <x:f>H12*H34</x:f>
        <x:v>-435006.0607621541</x:v>
      </x:c>
      <x:c r="I35" s="18" t="n">
        <x:f>I12*I34</x:f>
        <x:v>-386282.3970070071</x:v>
      </x:c>
      <x:c r="J35" s="1"/>
      <x:c r="K35" s="1"/>
      <x:c r="L35" s="1"/>
    </x:row>
    <x:row r="36" ht="22" customHeight="1">
      <x:c r="A36" s="1"/>
      <x:c r="B36" s="1"/>
      <x:c r="C36" s="1" t="str">
        <x:v>Replace: present value</x:v>
      </x:c>
      <x:c r="D36" s="18" t="n">
        <x:f>D20*D34</x:f>
        <x:v>-660000</x:v>
      </x:c>
      <x:c r="E36" s="18" t="n">
        <x:f>E20*E34</x:f>
        <x:v>-306049.3827160493</x:v>
      </x:c>
      <x:c r="F36" s="18" t="n">
        <x:f>F20*F34</x:f>
        <x:v>-291880.42981252854</x:v>
      </x:c>
      <x:c r="G36" s="18" t="n">
        <x:f>G20*G34</x:f>
        <x:v>-278367.4469508374</x:v>
      </x:c>
      <x:c r="H36" s="18" t="n">
        <x:f>H20*H34</x:f>
        <x:v>-265480.0651475579</x:v>
      </x:c>
      <x:c r="I36" s="18" t="n">
        <x:f>I20*I34</x:f>
        <x:v>-81682.35573822074</x:v>
      </x:c>
      <x:c r="J36" s="1"/>
      <x:c r="K36" s="1"/>
      <x:c r="L36" s="1"/>
    </x:row>
    <x:row r="37" ht="22" customHeight="1">
      <x:c r="A37" s="1"/>
      <x:c r="B37" s="1"/>
      <x:c r="C37" s="1" t="str">
        <x:v>Lease: present value</x:v>
      </x:c>
      <x:c r="D37" s="18" t="n">
        <x:f>D28*D34</x:f>
        <x:v>70000</x:v>
      </x:c>
      <x:c r="E37" s="18" t="n">
        <x:f>E28*E34</x:f>
        <x:v>-439382.71604938264</x:v>
      </x:c>
      <x:c r="F37" s="18" t="n">
        <x:f>F28*F34</x:f>
        <x:v>-419040.92363968905</x:v>
      </x:c>
      <x:c r="G37" s="18" t="n">
        <x:f>G28*G34</x:f>
        <x:v>-399640.8808785923</x:v>
      </x:c>
      <x:c r="H37" s="18" t="n">
        <x:f>H28*H34</x:f>
        <x:v>-381138.9882453241</x:v>
      </x:c>
      <x:c r="I37" s="18" t="n">
        <x:f>I28*I34</x:f>
        <x:v>-329464.5048637603</x:v>
      </x:c>
      <x:c r="J37" s="1"/>
      <x:c r="K37" s="1"/>
      <x:c r="L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</x:row>
    <x:row r="40" ht="22" customHeight="1">
      <x:c r="A40" s="1"/>
      <x:c r="B40" s="1"/>
      <x:c r="C40" s="5" t="str">
        <x:v>Year 0 sale proceeds apply only when old fleet is disposed.</x:v>
      </x:c>
      <x:c r="D40" s="5"/>
      <x:c r="E40" s="5"/>
      <x:c r="F40" s="5"/>
      <x:c r="G40" s="5"/>
      <x:c r="H40" s="5"/>
      <x:c r="I40" s="5"/>
      <x:c r="J40" s="5"/>
      <x:c r="K40" s="5"/>
      <x:c r="L40" s="1"/>
    </x:row>
    <x:row r="41" ht="22" customHeight="1">
      <x:c r="A41" s="1"/>
      <x:c r="B41" s="1"/>
      <x:c r="C41" s="5"/>
      <x:c r="D41" s="5"/>
      <x:c r="E41" s="5"/>
      <x:c r="F41" s="5"/>
      <x:c r="G41" s="5"/>
      <x:c r="H41" s="5"/>
      <x:c r="I41" s="5"/>
      <x:c r="J41" s="5"/>
      <x:c r="K41" s="5"/>
      <x:c r="L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</x:row>
  </x:sheetData>
  <x:mergeCells>
    <x:mergeCell ref="D4:F4"/>
    <x:mergeCell ref="C40:K4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  <x:col min="7" max="7" width="26" hidden="0" customWidth="1"/>
    <x:col min="8" max="8" width="26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Simulated fleet benefits review</x:v>
      </x:c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15" hidden="0" customHeight="1">
      <x:c r="A6" s="1"/>
      <x:c r="B6" s="1"/>
      <x:c r="C6" s="23" t="str">
        <x:v>Measure</x:v>
      </x:c>
      <x:c r="D6" s="23" t="str">
        <x:v>Plan</x:v>
      </x:c>
      <x:c r="E6" s="23" t="str">
        <x:v>Simulated observation</x:v>
      </x:c>
      <x:c r="F6" s="23" t="str">
        <x:v>Variance</x:v>
      </x:c>
      <x:c r="G6" s="23" t="str">
        <x:v>Units</x:v>
      </x:c>
      <x:c r="H6" s="23" t="str">
        <x:v>Review action</x:v>
      </x:c>
      <x:c r="I6" s="1"/>
      <x:c r="J6" s="1"/>
      <x:c r="K6" s="1"/>
      <x:c r="L6" s="1"/>
    </x:row>
    <x:row r="7" ht="26.399999618530273" hidden="0" customHeight="1">
      <x:c r="A7" s="1"/>
      <x:c r="B7" s="1"/>
      <x:c r="C7" s="5" t="str">
        <x:v>Annual maintenance</x:v>
      </x:c>
      <x:c r="D7" s="35" t="n">
        <x:v>54000</x:v>
      </x:c>
      <x:c r="E7" s="35" t="n">
        <x:v>58000</x:v>
      </x:c>
      <x:c r="F7" s="31" t="n">
        <x:f>E7-D7</x:f>
        <x:v>4000</x:v>
      </x:c>
      <x:c r="G7" s="5" t="str">
        <x:v>USD</x:v>
      </x:c>
      <x:c r="H7" s="5" t="str">
        <x:v>Review warranty and repair mix</x:v>
      </x:c>
      <x:c r="I7" s="1"/>
      <x:c r="J7" s="1"/>
      <x:c r="K7" s="1"/>
      <x:c r="L7" s="1"/>
    </x:row>
    <x:row r="8" ht="26.399999618530273" hidden="0" customHeight="1">
      <x:c r="A8" s="1"/>
      <x:c r="B8" s="1"/>
      <x:c r="C8" s="5" t="str">
        <x:v>Fuel economy</x:v>
      </x:c>
      <x:c r="D8" s="36" t="n">
        <x:v>7.2</x:v>
      </x:c>
      <x:c r="E8" s="36" t="n">
        <x:v>6.9</x:v>
      </x:c>
      <x:c r="F8" s="37" t="n">
        <x:f>E8-D8</x:f>
        <x:v>-0.2999999999999998</x:v>
      </x:c>
      <x:c r="G8" s="5" t="str">
        <x:v>mpg</x:v>
      </x:c>
      <x:c r="H8" s="5" t="str">
        <x:v>Review duty cycle and driver factors</x:v>
      </x:c>
      <x:c r="I8" s="1"/>
      <x:c r="J8" s="1"/>
      <x:c r="K8" s="1"/>
      <x:c r="L8" s="1"/>
    </x:row>
    <x:row r="9" ht="26.399999618530273" hidden="0" customHeight="1">
      <x:c r="A9" s="1"/>
      <x:c r="B9" s="1"/>
      <x:c r="C9" s="5" t="str">
        <x:v>Annual fleet downtime</x:v>
      </x:c>
      <x:c r="D9" s="5" t="n">
        <x:v>24</x:v>
      </x:c>
      <x:c r="E9" s="5" t="n">
        <x:v>30</x:v>
      </x:c>
      <x:c r="F9" s="29" t="n">
        <x:f>E9-D9</x:f>
        <x:v>6</x:v>
      </x:c>
      <x:c r="G9" s="5" t="str">
        <x:v>days</x:v>
      </x:c>
      <x:c r="H9" s="5" t="str">
        <x:v>Investigate service availability</x:v>
      </x:c>
      <x:c r="I9" s="1"/>
      <x:c r="J9" s="1"/>
      <x:c r="K9" s="1"/>
      <x:c r="L9" s="1"/>
    </x:row>
    <x:row r="10" ht="26.399999618530273" hidden="0" customHeight="1">
      <x:c r="A10" s="1"/>
      <x:c r="B10" s="1"/>
      <x:c r="C10" s="5" t="str">
        <x:v>Net upfront cash</x:v>
      </x:c>
      <x:c r="D10" s="35" t="n">
        <x:v>660000</x:v>
      </x:c>
      <x:c r="E10" s="35" t="n">
        <x:v>672000</x:v>
      </x:c>
      <x:c r="F10" s="31" t="n">
        <x:f>E10-D10</x:f>
        <x:v>12000</x:v>
      </x:c>
      <x:c r="G10" s="5" t="str">
        <x:v>USD</x:v>
      </x:c>
      <x:c r="H10" s="5" t="str">
        <x:v>Reconcile purchase and disposal invoices</x:v>
      </x:c>
      <x:c r="I10" s="1"/>
      <x:c r="J10" s="1"/>
      <x:c r="K10" s="1"/>
      <x:c r="L10" s="1"/>
    </x:row>
    <x:row r="11" ht="22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</x:row>
    <x:row r="12" ht="22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</x:row>
    <x:row r="13" ht="22" customHeight="1">
      <x:c r="A13" s="1"/>
      <x:c r="B13" s="1"/>
      <x:c r="C13" s="5" t="str">
        <x:v>Legacy simulated observations are preserved. The $660k target uses the original pre-tax scope.</x:v>
      </x:c>
      <x:c r="D13" s="5"/>
      <x:c r="E13" s="5"/>
      <x:c r="F13" s="5"/>
      <x:c r="G13" s="5"/>
      <x:c r="H13" s="5"/>
      <x:c r="I13" s="5"/>
      <x:c r="J13" s="5"/>
      <x:c r="K13" s="5"/>
      <x:c r="L13" s="5"/>
    </x:row>
    <x:row r="14" ht="22" customHeight="1">
      <x:c r="A14" s="1"/>
      <x:c r="B14" s="1"/>
      <x:c r="C14" s="5"/>
      <x:c r="D14" s="5"/>
      <x:c r="E14" s="5"/>
      <x:c r="F14" s="5"/>
      <x:c r="G14" s="5"/>
      <x:c r="H14" s="5"/>
      <x:c r="I14" s="5"/>
      <x:c r="J14" s="5"/>
      <x:c r="K14" s="5"/>
      <x:c r="L14" s="5"/>
    </x:row>
    <x:row r="15" ht="22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</x:row>
    <x:row r="16" ht="22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</x:row>
    <x:row r="17" ht="22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</x:row>
    <x:row r="18" ht="22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</x:row>
    <x:row r="19" ht="22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</x:row>
    <x:row r="20" ht="22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</x:row>
    <x:row r="21" ht="22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</x:row>
    <x:row r="22" ht="22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</x:row>
    <x:row r="23" ht="22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</x:row>
    <x:row r="24" ht="22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</x:row>
    <x:row r="25" ht="22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</x:row>
    <x:row r="28" ht="22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</x:row>
  </x:sheetData>
  <x:mergeCells>
    <x:mergeCell ref="C13:L1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42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After-tax unlevered alternatives</x:v>
      </x:c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1"/>
      <x:c r="B4" s="1"/>
      <x:c r="C4" s="1" t="str">
        <x:v>Case selected</x:v>
      </x:c>
      <x:c r="D4" s="7" t="str">
        <x:f>'Assumptions'!D4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/>
      <x:c r="B6" s="1"/>
      <x:c r="C6" s="1"/>
      <x:c r="D6" s="4" t="n">
        <x:v>0</x:v>
      </x:c>
      <x:c r="E6" s="4" t="n">
        <x:v>1</x:v>
      </x:c>
      <x:c r="F6" s="4" t="n">
        <x:v>2</x:v>
      </x:c>
      <x:c r="G6" s="4" t="n">
        <x:v>3</x:v>
      </x:c>
      <x:c r="H6" s="4" t="n">
        <x:v>4</x:v>
      </x:c>
      <x:c r="I6" s="4" t="n">
        <x:v>5</x:v>
      </x:c>
      <x:c r="J6" s="1"/>
      <x:c r="K6" s="1"/>
      <x:c r="L6" s="1"/>
    </x:row>
    <x:row r="7" ht="22" customHeight="1">
      <x:c r="A7" s="1"/>
      <x:c r="B7" s="1"/>
      <x:c r="C7" s="1" t="str">
        <x:v>Keep operating cash costs</x:v>
      </x:c>
      <x:c r="D7" s="25"/>
      <x:c r="E7" s="26" t="n">
        <x:f>'Cash Flows'!E10</x:f>
        <x:v>541600</x:v>
      </x:c>
      <x:c r="F7" s="26" t="n">
        <x:f>'Cash Flows'!F10</x:f>
        <x:v>557848</x:v>
      </x:c>
      <x:c r="G7" s="26" t="n">
        <x:f>'Cash Flows'!G10</x:f>
        <x:v>574583.44</x:v>
      </x:c>
      <x:c r="H7" s="26" t="n">
        <x:f>'Cash Flows'!H10</x:f>
        <x:v>591820.9432</x:v>
      </x:c>
      <x:c r="I7" s="26" t="n">
        <x:f>'Cash Flows'!I10</x:f>
        <x:v>609575.571496</x:v>
      </x:c>
      <x:c r="J7" s="1"/>
      <x:c r="K7" s="1"/>
      <x:c r="L7" s="1"/>
    </x:row>
    <x:row r="8" ht="22" customHeight="1">
      <x:c r="A8" s="1"/>
      <x:c r="B8" s="1"/>
      <x:c r="C8" s="1" t="str">
        <x:v>Keep tax depreciation</x:v>
      </x:c>
      <x:c r="D8" s="25"/>
      <x:c r="E8" s="26" t="n">
        <x:f>'Assumptions'!$G$9*'Assumptions'!$I$45/'Assumptions'!$I$55</x:f>
        <x:v>18000</x:v>
      </x:c>
      <x:c r="F8" s="26" t="n">
        <x:f>'Assumptions'!$G$9*'Assumptions'!$I$45/'Assumptions'!$I$55</x:f>
        <x:v>18000</x:v>
      </x:c>
      <x:c r="G8" s="26" t="n">
        <x:f>'Assumptions'!$G$9*'Assumptions'!$I$45/'Assumptions'!$I$55</x:f>
        <x:v>18000</x:v>
      </x:c>
      <x:c r="H8" s="26" t="n">
        <x:f>'Assumptions'!$G$9*'Assumptions'!$I$45/'Assumptions'!$I$55</x:f>
        <x:v>18000</x:v>
      </x:c>
      <x:c r="I8" s="26" t="n">
        <x:f>'Assumptions'!$G$9*'Assumptions'!$I$45/'Assumptions'!$I$55</x:f>
        <x:v>18000</x:v>
      </x:c>
      <x:c r="J8" s="1"/>
      <x:c r="K8" s="1"/>
      <x:c r="L8" s="1"/>
    </x:row>
    <x:row r="9" ht="22" customHeight="1">
      <x:c r="A9" s="1"/>
      <x:c r="B9" s="1"/>
      <x:c r="C9" s="1" t="str">
        <x:v>Keep tax benefit</x:v>
      </x:c>
      <x:c r="D9" s="25"/>
      <x:c r="E9" s="26" t="n">
        <x:f>SUM(E7:E8)*'Assumptions'!$I$44*'Assumptions'!$I$57</x:f>
        <x:v>139900</x:v>
      </x:c>
      <x:c r="F9" s="26" t="n">
        <x:f>SUM(F7:F8)*'Assumptions'!$I$44*'Assumptions'!$I$57</x:f>
        <x:v>143962</x:v>
      </x:c>
      <x:c r="G9" s="26" t="n">
        <x:f>SUM(G7:G8)*'Assumptions'!$I$44*'Assumptions'!$I$57</x:f>
        <x:v>148145.86</x:v>
      </x:c>
      <x:c r="H9" s="26" t="n">
        <x:f>SUM(H7:H8)*'Assumptions'!$I$44*'Assumptions'!$I$57</x:f>
        <x:v>152455.2358</x:v>
      </x:c>
      <x:c r="I9" s="26" t="n">
        <x:f>SUM(I7:I8)*'Assumptions'!$I$44*'Assumptions'!$I$57</x:f>
        <x:v>156893.892874</x:v>
      </x:c>
      <x:c r="J9" s="1"/>
      <x:c r="K9" s="1"/>
      <x:c r="L9" s="1"/>
    </x:row>
    <x:row r="10" ht="22" customHeight="1">
      <x:c r="A10" s="1"/>
      <x:c r="B10" s="1"/>
      <x:c r="C10" s="1" t="str">
        <x:v>Keep after-tax terminal value</x:v>
      </x:c>
      <x:c r="D10" s="25"/>
      <x:c r="E10" s="18" t="n">
        <x:f>0</x:f>
        <x:v>0</x:v>
      </x:c>
      <x:c r="F10" s="18" t="n">
        <x:f>0</x:f>
        <x:v>0</x:v>
      </x:c>
      <x:c r="G10" s="18" t="n">
        <x:f>0</x:f>
        <x:v>0</x:v>
      </x:c>
      <x:c r="H10" s="18" t="n">
        <x:f>0</x:f>
        <x:v>0</x:v>
      </x:c>
      <x:c r="I10" s="26" t="n">
        <x:f>'Cash Flows'!I11*(1-'Assumptions'!I44)</x:f>
        <x:v>31500</x:v>
      </x:c>
      <x:c r="J10" s="1"/>
      <x:c r="K10" s="1"/>
      <x:c r="L10" s="1"/>
    </x:row>
    <x:row r="11" ht="22" customHeight="1">
      <x:c r="A11" s="1"/>
      <x:c r="B11" s="1"/>
      <x:c r="C11" s="1" t="str">
        <x:v>Keep unlevered cash flow</x:v>
      </x:c>
      <x:c r="D11" s="18" t="n">
        <x:f>0</x:f>
        <x:v>0</x:v>
      </x:c>
      <x:c r="E11" s="18" t="n">
        <x:f>-E7+SUM(E9:E10)</x:f>
        <x:v>-401700</x:v>
      </x:c>
      <x:c r="F11" s="18" t="n">
        <x:f>-F7+SUM(F9:F10)</x:f>
        <x:v>-413886</x:v>
      </x:c>
      <x:c r="G11" s="18" t="n">
        <x:f>-G7+SUM(G9:G10)</x:f>
        <x:v>-426437.57999999996</x:v>
      </x:c>
      <x:c r="H11" s="18" t="n">
        <x:f>-H7+SUM(H9:H10)</x:f>
        <x:v>-439365.70739999996</x:v>
      </x:c>
      <x:c r="I11" s="18" t="n">
        <x:f>-I7+SUM(I9:I10)</x:f>
        <x:v>-421181.67862200004</x:v>
      </x:c>
      <x:c r="J11" s="1"/>
      <x:c r="K11" s="1"/>
      <x:c r="L11" s="1"/>
    </x:row>
    <x:row r="12" ht="22" customHeight="1">
      <x:c r="A12" s="1"/>
      <x:c r="B12" s="1"/>
      <x:c r="C12" s="1"/>
      <x:c r="D12" s="25"/>
      <x:c r="E12" s="25"/>
      <x:c r="F12" s="25"/>
      <x:c r="G12" s="25"/>
      <x:c r="H12" s="25"/>
      <x:c r="I12" s="25"/>
      <x:c r="J12" s="1"/>
      <x:c r="K12" s="1"/>
      <x:c r="L12" s="1"/>
    </x:row>
    <x:row r="13" ht="22" customHeight="1">
      <x:c r="A13" s="1"/>
      <x:c r="B13" s="1"/>
      <x:c r="C13" s="1"/>
      <x:c r="D13" s="25"/>
      <x:c r="E13" s="25"/>
      <x:c r="F13" s="25"/>
      <x:c r="G13" s="25"/>
      <x:c r="H13" s="25"/>
      <x:c r="I13" s="25"/>
      <x:c r="J13" s="1"/>
      <x:c r="K13" s="1"/>
      <x:c r="L13" s="1"/>
    </x:row>
    <x:row r="14" ht="22" customHeight="1">
      <x:c r="A14" s="1"/>
      <x:c r="B14" s="1"/>
      <x:c r="C14" s="1" t="str">
        <x:v>Replace operating cash costs</x:v>
      </x:c>
      <x:c r="D14" s="25"/>
      <x:c r="E14" s="26" t="n">
        <x:f>'Cash Flows'!E18</x:f>
        <x:v>330533.3333333333</x:v>
      </x:c>
      <x:c r="F14" s="26" t="n">
        <x:f>'Cash Flows'!F18</x:f>
        <x:v>340449.3333333333</x:v>
      </x:c>
      <x:c r="G14" s="26" t="n">
        <x:f>'Cash Flows'!G18</x:f>
        <x:v>350662.8133333333</x:v>
      </x:c>
      <x:c r="H14" s="26" t="n">
        <x:f>'Cash Flows'!H18</x:f>
        <x:v>361182.69773333333</x:v>
      </x:c>
      <x:c r="I14" s="26" t="n">
        <x:f>'Cash Flows'!I18</x:f>
        <x:v>372018.17866533337</x:v>
      </x:c>
      <x:c r="J14" s="1"/>
      <x:c r="K14" s="1"/>
      <x:c r="L14" s="1"/>
    </x:row>
    <x:row r="15" ht="22" customHeight="1">
      <x:c r="A15" s="1"/>
      <x:c r="B15" s="1"/>
      <x:c r="C15" s="1" t="str">
        <x:v>Replace tax depreciation</x:v>
      </x:c>
      <x:c r="D15" s="25"/>
      <x:c r="E15" s="26" t="n">
        <x:f>'Assumptions'!$G$9*('Assumptions'!$G$10-'Assumptions'!$I$46)/'Assumptions'!$I$55</x:f>
        <x:v>156000</x:v>
      </x:c>
      <x:c r="F15" s="26" t="n">
        <x:f>'Assumptions'!$G$9*('Assumptions'!$G$10-'Assumptions'!$I$46)/'Assumptions'!$I$55</x:f>
        <x:v>156000</x:v>
      </x:c>
      <x:c r="G15" s="26" t="n">
        <x:f>'Assumptions'!$G$9*('Assumptions'!$G$10-'Assumptions'!$I$46)/'Assumptions'!$I$55</x:f>
        <x:v>156000</x:v>
      </x:c>
      <x:c r="H15" s="26" t="n">
        <x:f>'Assumptions'!$G$9*('Assumptions'!$G$10-'Assumptions'!$I$46)/'Assumptions'!$I$55</x:f>
        <x:v>156000</x:v>
      </x:c>
      <x:c r="I15" s="26" t="n">
        <x:f>'Assumptions'!$G$9*('Assumptions'!$G$10-'Assumptions'!$I$46)/'Assumptions'!$I$55</x:f>
        <x:v>156000</x:v>
      </x:c>
      <x:c r="J15" s="1"/>
      <x:c r="K15" s="1"/>
      <x:c r="L15" s="1"/>
    </x:row>
    <x:row r="16" ht="22" customHeight="1">
      <x:c r="A16" s="1"/>
      <x:c r="B16" s="1"/>
      <x:c r="C16" s="1" t="str">
        <x:v>Replace tax benefit</x:v>
      </x:c>
      <x:c r="D16" s="25"/>
      <x:c r="E16" s="26" t="n">
        <x:f>SUM(E14:E15)*'Assumptions'!$I$44*'Assumptions'!$I$57</x:f>
        <x:v>121633.33333333333</x:v>
      </x:c>
      <x:c r="F16" s="26" t="n">
        <x:f>SUM(F14:F15)*'Assumptions'!$I$44*'Assumptions'!$I$57</x:f>
        <x:v>124112.33333333333</x:v>
      </x:c>
      <x:c r="G16" s="26" t="n">
        <x:f>SUM(G14:G15)*'Assumptions'!$I$44*'Assumptions'!$I$57</x:f>
        <x:v>126665.70333333332</x:v>
      </x:c>
      <x:c r="H16" s="26" t="n">
        <x:f>SUM(H14:H15)*'Assumptions'!$I$44*'Assumptions'!$I$57</x:f>
        <x:v>129295.67443333333</x:v>
      </x:c>
      <x:c r="I16" s="26" t="n">
        <x:f>SUM(I14:I15)*'Assumptions'!$I$44*'Assumptions'!$I$57</x:f>
        <x:v>132004.54466633336</x:v>
      </x:c>
      <x:c r="J16" s="1"/>
      <x:c r="K16" s="1"/>
      <x:c r="L16" s="1"/>
    </x:row>
    <x:row r="17" ht="22" customHeight="1">
      <x:c r="A17" s="1"/>
      <x:c r="B17" s="1"/>
      <x:c r="C17" s="1" t="str">
        <x:v>Replace after-tax terminal value</x:v>
      </x:c>
      <x:c r="D17" s="25"/>
      <x:c r="E17" s="18" t="n">
        <x:f>0</x:f>
        <x:v>0</x:v>
      </x:c>
      <x:c r="F17" s="18" t="n">
        <x:f>0</x:f>
        <x:v>0</x:v>
      </x:c>
      <x:c r="G17" s="18" t="n">
        <x:f>0</x:f>
        <x:v>0</x:v>
      </x:c>
      <x:c r="H17" s="18" t="n">
        <x:f>0</x:f>
        <x:v>0</x:v>
      </x:c>
      <x:c r="I17" s="26" t="n">
        <x:f>'Cash Flows'!I19-('Cash Flows'!I19-'Assumptions'!G9*'Assumptions'!I46)*'Assumptions'!I44</x:f>
        <x:v>189000</x:v>
      </x:c>
      <x:c r="J17" s="1"/>
      <x:c r="K17" s="1"/>
      <x:c r="L17" s="1"/>
    </x:row>
    <x:row r="18" ht="22" customHeight="1">
      <x:c r="A18" s="1"/>
      <x:c r="B18" s="1"/>
      <x:c r="C18" s="1" t="str">
        <x:v>Replace unlevered cash flow</x:v>
      </x:c>
      <x:c r="D18" s="26" t="n">
        <x:f>'Cash Flows'!D20-('Assumptions'!G9*('Assumptions'!G11-'Assumptions'!I45))*'Assumptions'!I44-'Assumptions'!G9*'Assumptions'!I47*(1-'Assumptions'!I44*'Assumptions'!I56*'Assumptions'!I57)</x:f>
        <x:v>-685500</x:v>
      </x:c>
      <x:c r="E18" s="18" t="n">
        <x:f>-E14+SUM(E16:E17)</x:f>
        <x:v>-208900</x:v>
      </x:c>
      <x:c r="F18" s="18" t="n">
        <x:f>-F14+SUM(F16:F17)</x:f>
        <x:v>-216337</x:v>
      </x:c>
      <x:c r="G18" s="18" t="n">
        <x:f>-G14+SUM(G16:G17)</x:f>
        <x:v>-223997.11</x:v>
      </x:c>
      <x:c r="H18" s="18" t="n">
        <x:f>-H14+SUM(H16:H17)</x:f>
        <x:v>-231887.0233</x:v>
      </x:c>
      <x:c r="I18" s="18" t="n">
        <x:f>-I14+SUM(I16:I17)</x:f>
        <x:v>-51013.63399900001</x:v>
      </x:c>
      <x:c r="J18" s="1"/>
      <x:c r="K18" s="1"/>
      <x:c r="L18" s="1"/>
    </x:row>
    <x:row r="19" ht="22" customHeight="1">
      <x:c r="A19" s="1"/>
      <x:c r="B19" s="1"/>
      <x:c r="C19" s="1"/>
      <x:c r="D19" s="25"/>
      <x:c r="E19" s="25"/>
      <x:c r="F19" s="25"/>
      <x:c r="G19" s="25"/>
      <x:c r="H19" s="25"/>
      <x:c r="I19" s="25"/>
      <x:c r="J19" s="1"/>
      <x:c r="K19" s="1"/>
      <x:c r="L19" s="1"/>
    </x:row>
    <x:row r="20" ht="22" customHeight="1">
      <x:c r="A20" s="1"/>
      <x:c r="B20" s="1"/>
      <x:c r="C20" s="1"/>
      <x:c r="D20" s="25"/>
      <x:c r="E20" s="25"/>
      <x:c r="F20" s="25"/>
      <x:c r="G20" s="25"/>
      <x:c r="H20" s="25"/>
      <x:c r="I20" s="25"/>
      <x:c r="J20" s="1"/>
      <x:c r="K20" s="1"/>
      <x:c r="L20" s="1"/>
    </x:row>
    <x:row r="21" ht="22" customHeight="1">
      <x:c r="A21" s="1"/>
      <x:c r="B21" s="1"/>
      <x:c r="C21" s="1" t="str">
        <x:v>Lease rental / fuel / downtime</x:v>
      </x:c>
      <x:c r="D21" s="25"/>
      <x:c r="E21" s="26" t="n">
        <x:f>'Cash Flows'!E26</x:f>
        <x:v>474533.3333333333</x:v>
      </x:c>
      <x:c r="F21" s="26" t="n">
        <x:f>'Cash Flows'!F26</x:f>
        <x:v>488769.3333333333</x:v>
      </x:c>
      <x:c r="G21" s="26" t="n">
        <x:f>'Cash Flows'!G26</x:f>
        <x:v>503432.41333333333</x:v>
      </x:c>
      <x:c r="H21" s="26" t="n">
        <x:f>'Cash Flows'!H26</x:f>
        <x:v>518535.3857333333</x:v>
      </x:c>
      <x:c r="I21" s="26" t="n">
        <x:f>'Cash Flows'!I26</x:f>
        <x:v>534091.4473053333</x:v>
      </x:c>
      <x:c r="J21" s="1"/>
      <x:c r="K21" s="1"/>
      <x:c r="L21" s="1"/>
    </x:row>
    <x:row r="22" ht="22" customHeight="1">
      <x:c r="A22" s="1"/>
      <x:c r="B22" s="1"/>
      <x:c r="C22" s="1" t="str">
        <x:v>Excess mileage cost</x:v>
      </x:c>
      <x:c r="D22" s="25"/>
      <x:c r="E22" s="26" t="n">
        <x:f>MAX(0,'Assumptions'!$D$18-'Assumptions'!$I$48)*'Assumptions'!$I$49*'Assumptions'!$G$9</x:f>
        <x:v>6000</x:v>
      </x:c>
      <x:c r="F22" s="26" t="n">
        <x:f>MAX(0,'Assumptions'!$D$18-'Assumptions'!$I$48)*'Assumptions'!$I$49*'Assumptions'!$G$9</x:f>
        <x:v>6000</x:v>
      </x:c>
      <x:c r="G22" s="26" t="n">
        <x:f>MAX(0,'Assumptions'!$D$18-'Assumptions'!$I$48)*'Assumptions'!$I$49*'Assumptions'!$G$9</x:f>
        <x:v>6000</x:v>
      </x:c>
      <x:c r="H22" s="26" t="n">
        <x:f>MAX(0,'Assumptions'!$D$18-'Assumptions'!$I$48)*'Assumptions'!$I$49*'Assumptions'!$G$9</x:f>
        <x:v>6000</x:v>
      </x:c>
      <x:c r="I22" s="26" t="n">
        <x:f>MAX(0,'Assumptions'!$D$18-'Assumptions'!$I$48)*'Assumptions'!$I$49*'Assumptions'!$G$9</x:f>
        <x:v>6000</x:v>
      </x:c>
      <x:c r="J22" s="1"/>
      <x:c r="K22" s="1"/>
      <x:c r="L22" s="1"/>
    </x:row>
    <x:row r="23" ht="22" customHeight="1">
      <x:c r="A23" s="1"/>
      <x:c r="B23" s="1"/>
      <x:c r="C23" s="1" t="str">
        <x:v>Lease tax benefit</x:v>
      </x:c>
      <x:c r="D23" s="25"/>
      <x:c r="E23" s="26" t="n">
        <x:f>SUM(E21:E22)*'Assumptions'!$I$44*'Assumptions'!$I$57</x:f>
        <x:v>120133.33333333333</x:v>
      </x:c>
      <x:c r="F23" s="26" t="n">
        <x:f>SUM(F21:F22)*'Assumptions'!$I$44*'Assumptions'!$I$57</x:f>
        <x:v>123692.33333333333</x:v>
      </x:c>
      <x:c r="G23" s="26" t="n">
        <x:f>SUM(G21:G22)*'Assumptions'!$I$44*'Assumptions'!$I$57</x:f>
        <x:v>127358.10333333333</x:v>
      </x:c>
      <x:c r="H23" s="26" t="n">
        <x:f>SUM(H21:H22)*'Assumptions'!$I$44*'Assumptions'!$I$57</x:f>
        <x:v>131133.84643333332</x:v>
      </x:c>
      <x:c r="I23" s="26" t="n">
        <x:f>SUM(I21:I22)*'Assumptions'!$I$44*'Assumptions'!$I$57</x:f>
        <x:v>135022.86182633333</x:v>
      </x:c>
      <x:c r="J23" s="1"/>
      <x:c r="K23" s="1"/>
      <x:c r="L23" s="1"/>
    </x:row>
    <x:row r="24" ht="22" customHeight="1">
      <x:c r="A24" s="1"/>
      <x:c r="B24" s="1"/>
      <x:c r="C24" s="1" t="str">
        <x:v>Lease deposit returned</x:v>
      </x:c>
      <x:c r="D24" s="25"/>
      <x:c r="E24" s="18" t="n">
        <x:f>0</x:f>
        <x:v>0</x:v>
      </x:c>
      <x:c r="F24" s="18" t="n">
        <x:f>0</x:f>
        <x:v>0</x:v>
      </x:c>
      <x:c r="G24" s="18" t="n">
        <x:f>0</x:f>
        <x:v>0</x:v>
      </x:c>
      <x:c r="H24" s="18" t="n">
        <x:f>0</x:f>
        <x:v>0</x:v>
      </x:c>
      <x:c r="I24" s="26" t="n">
        <x:f>'Cash Flows'!I27</x:f>
        <x:v>50000</x:v>
      </x:c>
      <x:c r="J24" s="1"/>
      <x:c r="K24" s="1"/>
      <x:c r="L24" s="1"/>
    </x:row>
    <x:row r="25" ht="22" customHeight="1">
      <x:c r="A25" s="1"/>
      <x:c r="B25" s="1"/>
      <x:c r="C25" s="1" t="str">
        <x:v>Lease unlevered cash flow</x:v>
      </x:c>
      <x:c r="D25" s="26" t="n">
        <x:f>'Cash Flows'!D28-('Assumptions'!G9*('Assumptions'!G11-'Assumptions'!I45))*'Assumptions'!I44-'Assumptions'!G9*'Assumptions'!I47*(1-'Assumptions'!I44*'Assumptions'!I56*'Assumptions'!I57)</x:f>
        <x:v>44500</x:v>
      </x:c>
      <x:c r="E25" s="18" t="n">
        <x:f>-SUM(E21:E22)+SUM(E23:E24)</x:f>
        <x:v>-360400</x:v>
      </x:c>
      <x:c r="F25" s="18" t="n">
        <x:f>-SUM(F21:F22)+SUM(F23:F24)</x:f>
        <x:v>-371077</x:v>
      </x:c>
      <x:c r="G25" s="18" t="n">
        <x:f>-SUM(G21:G22)+SUM(G23:G24)</x:f>
        <x:v>-382074.31</x:v>
      </x:c>
      <x:c r="H25" s="18" t="n">
        <x:f>-SUM(H21:H22)+SUM(H23:H24)</x:f>
        <x:v>-393401.53929999995</x:v>
      </x:c>
      <x:c r="I25" s="18" t="n">
        <x:f>-SUM(I21:I22)+SUM(I23:I24)</x:f>
        <x:v>-355068.585479</x:v>
      </x:c>
      <x:c r="J25" s="1"/>
      <x:c r="K25" s="1"/>
      <x:c r="L25" s="1"/>
    </x:row>
    <x:row r="26" ht="22" customHeight="1">
      <x:c r="A26" s="1"/>
      <x:c r="B26" s="1"/>
      <x:c r="C26" s="1"/>
      <x:c r="D26" s="25"/>
      <x:c r="E26" s="25"/>
      <x:c r="F26" s="25"/>
      <x:c r="G26" s="25"/>
      <x:c r="H26" s="25"/>
      <x:c r="I26" s="25"/>
      <x:c r="J26" s="1"/>
      <x:c r="K26" s="1"/>
      <x:c r="L26" s="1"/>
    </x:row>
    <x:row r="27" ht="22" customHeight="1">
      <x:c r="A27" s="1"/>
      <x:c r="B27" s="1"/>
      <x:c r="C27" s="1"/>
      <x:c r="D27" s="25"/>
      <x:c r="E27" s="25"/>
      <x:c r="F27" s="25"/>
      <x:c r="G27" s="25"/>
      <x:c r="H27" s="25"/>
      <x:c r="I27" s="25"/>
      <x:c r="J27" s="1"/>
      <x:c r="K27" s="1"/>
      <x:c r="L27" s="1"/>
    </x:row>
    <x:row r="28" ht="22" customHeight="1">
      <x:c r="A28" s="1"/>
      <x:c r="B28" s="1"/>
      <x:c r="C28" s="1" t="str">
        <x:v>Discount factor</x:v>
      </x:c>
      <x:c r="D28" s="27" t="n">
        <x:f>'Cash Flows'!D34</x:f>
        <x:v>1</x:v>
      </x:c>
      <x:c r="E28" s="27" t="n">
        <x:f>'Cash Flows'!E34</x:f>
        <x:v>0.9259259259259258</x:v>
      </x:c>
      <x:c r="F28" s="27" t="n">
        <x:f>'Cash Flows'!F34</x:f>
        <x:v>0.8573388203017832</x:v>
      </x:c>
      <x:c r="G28" s="27" t="n">
        <x:f>'Cash Flows'!G34</x:f>
        <x:v>0.7938322410201696</x:v>
      </x:c>
      <x:c r="H28" s="27" t="n">
        <x:f>'Cash Flows'!H34</x:f>
        <x:v>0.7350298527964533</x:v>
      </x:c>
      <x:c r="I28" s="27" t="n">
        <x:f>'Cash Flows'!I34</x:f>
        <x:v>0.6805831970337529</x:v>
      </x:c>
      <x:c r="J28" s="1"/>
      <x:c r="K28" s="1"/>
      <x:c r="L28" s="1"/>
    </x:row>
    <x:row r="29" ht="22" customHeight="1">
      <x:c r="A29" s="1"/>
      <x:c r="B29" s="1"/>
      <x:c r="C29" s="1" t="str">
        <x:v>Keep present value</x:v>
      </x:c>
      <x:c r="D29" s="18" t="n">
        <x:f>D11*D28</x:f>
        <x:v>0</x:v>
      </x:c>
      <x:c r="E29" s="18" t="n">
        <x:f>E11*E28</x:f>
        <x:v>-371944.4444444444</x:v>
      </x:c>
      <x:c r="F29" s="18" t="n">
        <x:f>F11*F28</x:f>
        <x:v>-354840.53497942386</x:v>
      </x:c>
      <x:c r="G29" s="18" t="n">
        <x:f>G11*G28</x:f>
        <x:v>-338519.89978661784</x:v>
      </x:c>
      <x:c r="H29" s="18" t="n">
        <x:f>H11*H28</x:f>
        <x:v>-322946.91123403155</x:v>
      </x:c>
      <x:c r="I29" s="18" t="n">
        <x:f>I11*I28</x:f>
        <x:v>-286649.17336860346</x:v>
      </x:c>
      <x:c r="J29" s="1"/>
      <x:c r="K29" s="1"/>
      <x:c r="L29" s="1"/>
    </x:row>
    <x:row r="30" ht="22" customHeight="1">
      <x:c r="A30" s="1"/>
      <x:c r="B30" s="1"/>
      <x:c r="C30" s="1" t="str">
        <x:v>Replace present value</x:v>
      </x:c>
      <x:c r="D30" s="18" t="n">
        <x:f>D18*D28</x:f>
        <x:v>-685500</x:v>
      </x:c>
      <x:c r="E30" s="18" t="n">
        <x:f>E18*E28</x:f>
        <x:v>-193425.9259259259</x:v>
      </x:c>
      <x:c r="F30" s="18" t="n">
        <x:f>F18*F28</x:f>
        <x:v>-185474.10836762688</x:v>
      </x:c>
      <x:c r="G30" s="18" t="n">
        <x:f>G18*G28</x:f>
        <x:v>-177816.12781334142</x:v>
      </x:c>
      <x:c r="H30" s="18" t="n">
        <x:f>H18*H28</x:f>
        <x:v>-170443.88460160673</x:v>
      </x:c>
      <x:c r="I30" s="18" t="n">
        <x:f>I18*I28</x:f>
        <x:v>-34719.02211934918</x:v>
      </x:c>
      <x:c r="J30" s="1"/>
      <x:c r="K30" s="1"/>
      <x:c r="L30" s="1"/>
    </x:row>
    <x:row r="31" ht="22" customHeight="1">
      <x:c r="A31" s="1"/>
      <x:c r="B31" s="1"/>
      <x:c r="C31" s="1" t="str">
        <x:v>Lease present value</x:v>
      </x:c>
      <x:c r="D31" s="18" t="n">
        <x:f>D25*D28</x:f>
        <x:v>44500</x:v>
      </x:c>
      <x:c r="E31" s="18" t="n">
        <x:f>E25*E28</x:f>
        <x:v>-333703.70370370365</x:v>
      </x:c>
      <x:c r="F31" s="18" t="n">
        <x:f>F25*F28</x:f>
        <x:v>-318138.7174211248</x:v>
      </x:c>
      <x:c r="G31" s="18" t="n">
        <x:f>G25*G28</x:f>
        <x:v>-303302.90574353497</x:v>
      </x:c>
      <x:c r="H31" s="18" t="n">
        <x:f>H25*H28</x:f>
        <x:v>-289161.8755215771</x:v>
      </x:c>
      <x:c r="I31" s="18" t="n">
        <x:f>I25*I28</x:f>
        <x:v>-241653.71307155018</x:v>
      </x:c>
      <x:c r="J31" s="1"/>
      <x:c r="K31" s="1"/>
      <x:c r="L31" s="1"/>
    </x:row>
    <x:row r="32" ht="22" customHeight="1">
      <x:c r="A32" s="1"/>
      <x:c r="B32" s="1"/>
      <x:c r="C32" s="1"/>
      <x:c r="D32" s="25"/>
      <x:c r="E32" s="25"/>
      <x:c r="F32" s="25"/>
      <x:c r="G32" s="25"/>
      <x:c r="H32" s="25"/>
      <x:c r="I32" s="25"/>
      <x:c r="J32" s="1"/>
      <x:c r="K32" s="1"/>
      <x:c r="L32" s="1"/>
    </x:row>
    <x:row r="33" ht="22" customHeight="1">
      <x:c r="A33" s="1"/>
      <x:c r="B33" s="1"/>
      <x:c r="C33" s="1"/>
      <x:c r="D33" s="25"/>
      <x:c r="E33" s="25"/>
      <x:c r="F33" s="25"/>
      <x:c r="G33" s="25"/>
      <x:c r="H33" s="25"/>
      <x:c r="I33" s="25"/>
      <x:c r="J33" s="1"/>
      <x:c r="K33" s="1"/>
      <x:c r="L33" s="1"/>
    </x:row>
    <x:row r="34" ht="22" customHeight="1">
      <x:c r="A34" s="1"/>
      <x:c r="B34" s="1"/>
      <x:c r="C34" s="1" t="str">
        <x:v>Replacement vs keep cash flow</x:v>
      </x:c>
      <x:c r="D34" s="18" t="n">
        <x:f>D18-D11</x:f>
        <x:v>-685500</x:v>
      </x:c>
      <x:c r="E34" s="18" t="n">
        <x:f>E18-E11</x:f>
        <x:v>192800</x:v>
      </x:c>
      <x:c r="F34" s="18" t="n">
        <x:f>F18-F11</x:f>
        <x:v>197549</x:v>
      </x:c>
      <x:c r="G34" s="18" t="n">
        <x:f>G18-G11</x:f>
        <x:v>202440.46999999997</x:v>
      </x:c>
      <x:c r="H34" s="18" t="n">
        <x:f>H18-H11</x:f>
        <x:v>207478.68409999995</x:v>
      </x:c>
      <x:c r="I34" s="18" t="n">
        <x:f>I18-I11</x:f>
        <x:v>370168.044623</x:v>
      </x:c>
      <x:c r="J34" s="1"/>
      <x:c r="K34" s="1"/>
      <x:c r="L34" s="1"/>
    </x:row>
    <x:row r="35" ht="22" customHeight="1">
      <x:c r="A35" s="1"/>
      <x:c r="B35" s="1"/>
      <x:c r="C35" s="1" t="str">
        <x:v>Lease vs keep cash flow</x:v>
      </x:c>
      <x:c r="D35" s="18" t="n">
        <x:f>D25-D11</x:f>
        <x:v>44500</x:v>
      </x:c>
      <x:c r="E35" s="18" t="n">
        <x:f>E25-E11</x:f>
        <x:v>41300</x:v>
      </x:c>
      <x:c r="F35" s="18" t="n">
        <x:f>F25-F11</x:f>
        <x:v>42809</x:v>
      </x:c>
      <x:c r="G35" s="18" t="n">
        <x:f>G25-G11</x:f>
        <x:v>44363.26999999996</x:v>
      </x:c>
      <x:c r="H35" s="18" t="n">
        <x:f>H25-H11</x:f>
        <x:v>45964.16810000001</x:v>
      </x:c>
      <x:c r="I35" s="18" t="n">
        <x:f>I25-I11</x:f>
        <x:v>66113.09314300003</x:v>
      </x:c>
      <x:c r="J35" s="1"/>
      <x:c r="K35" s="1"/>
      <x:c r="L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</x:row>
  </x:sheetData>
  <x:mergeCells>
    <x:mergeCell ref="D4:F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42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Purchase financing and lease obligations</x:v>
      </x:c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1"/>
      <x:c r="B4" s="1"/>
      <x:c r="C4" s="1" t="str">
        <x:v>Case selected</x:v>
      </x:c>
      <x:c r="D4" s="7" t="str">
        <x:f>'Assumptions'!D4</x:f>
        <x:v>Base</x:v>
      </x:c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22" customHeight="1">
      <x:c r="A6" s="1"/>
      <x:c r="B6" s="1"/>
      <x:c r="C6" s="1"/>
      <x:c r="D6" s="4" t="n">
        <x:v>0</x:v>
      </x:c>
      <x:c r="E6" s="4" t="n">
        <x:v>1</x:v>
      </x:c>
      <x:c r="F6" s="4" t="n">
        <x:v>2</x:v>
      </x:c>
      <x:c r="G6" s="4" t="n">
        <x:v>3</x:v>
      </x:c>
      <x:c r="H6" s="4" t="n">
        <x:v>4</x:v>
      </x:c>
      <x:c r="I6" s="4" t="n">
        <x:v>5</x:v>
      </x:c>
      <x:c r="J6" s="1"/>
      <x:c r="K6" s="1"/>
      <x:c r="L6" s="1"/>
    </x:row>
    <x:row r="7" ht="22" customHeight="1">
      <x:c r="A7" s="1"/>
      <x:c r="B7" s="1"/>
      <x:c r="C7" s="1" t="str">
        <x:v>Opening purchase loan</x:v>
      </x:c>
      <x:c r="D7" s="18" t="n">
        <x:f>0</x:f>
        <x:v>0</x:v>
      </x:c>
      <x:c r="E7" s="26" t="n">
        <x:f>'Assumptions'!G9*'Assumptions'!G10*'Assumptions'!I50</x:f>
        <x:v>546000</x:v>
      </x:c>
      <x:c r="F7" s="18" t="n">
        <x:f>E10</x:f>
        <x:v>436800</x:v>
      </x:c>
      <x:c r="G7" s="18" t="n">
        <x:f>F10</x:f>
        <x:v>327600</x:v>
      </x:c>
      <x:c r="H7" s="18" t="n">
        <x:f>G10</x:f>
        <x:v>218400</x:v>
      </x:c>
      <x:c r="I7" s="18" t="n">
        <x:f>H10</x:f>
        <x:v>109200</x:v>
      </x:c>
      <x:c r="J7" s="1"/>
      <x:c r="K7" s="1"/>
      <x:c r="L7" s="1"/>
    </x:row>
    <x:row r="8" ht="22" customHeight="1">
      <x:c r="A8" s="1"/>
      <x:c r="B8" s="1"/>
      <x:c r="C8" s="1" t="str">
        <x:v>Loan draw</x:v>
      </x:c>
      <x:c r="D8" s="26" t="n">
        <x:f>'Assumptions'!G9*'Assumptions'!G10*'Assumptions'!I50</x:f>
        <x:v>546000</x:v>
      </x:c>
      <x:c r="E8" s="18" t="n">
        <x:f>0</x:f>
        <x:v>0</x:v>
      </x:c>
      <x:c r="F8" s="18" t="n">
        <x:f>0</x:f>
        <x:v>0</x:v>
      </x:c>
      <x:c r="G8" s="18" t="n">
        <x:f>0</x:f>
        <x:v>0</x:v>
      </x:c>
      <x:c r="H8" s="18" t="n">
        <x:f>0</x:f>
        <x:v>0</x:v>
      </x:c>
      <x:c r="I8" s="18" t="n">
        <x:f>0</x:f>
        <x:v>0</x:v>
      </x:c>
      <x:c r="J8" s="1"/>
      <x:c r="K8" s="1"/>
      <x:c r="L8" s="1"/>
    </x:row>
    <x:row r="9" ht="22" customHeight="1">
      <x:c r="A9" s="1"/>
      <x:c r="B9" s="1"/>
      <x:c r="C9" s="1" t="str">
        <x:v>Principal repayment</x:v>
      </x:c>
      <x:c r="D9" s="18" t="n">
        <x:f>0</x:f>
        <x:v>0</x:v>
      </x:c>
      <x:c r="E9" s="18" t="n">
        <x:f>MIN(E7,$D$8/5)</x:f>
        <x:v>109200</x:v>
      </x:c>
      <x:c r="F9" s="18" t="n">
        <x:f>MIN(F7,$D$8/5)</x:f>
        <x:v>109200</x:v>
      </x:c>
      <x:c r="G9" s="18" t="n">
        <x:f>MIN(G7,$D$8/5)</x:f>
        <x:v>109200</x:v>
      </x:c>
      <x:c r="H9" s="18" t="n">
        <x:f>MIN(H7,$D$8/5)</x:f>
        <x:v>109200</x:v>
      </x:c>
      <x:c r="I9" s="18" t="n">
        <x:f>MIN(I7,$D$8/5)</x:f>
        <x:v>109200</x:v>
      </x:c>
      <x:c r="J9" s="1"/>
      <x:c r="K9" s="1"/>
      <x:c r="L9" s="1"/>
    </x:row>
    <x:row r="10" ht="22" customHeight="1">
      <x:c r="A10" s="1"/>
      <x:c r="B10" s="1"/>
      <x:c r="C10" s="1" t="str">
        <x:v>Closing purchase loan</x:v>
      </x:c>
      <x:c r="D10" s="18" t="n">
        <x:f>SUM(D7:D8)-D9</x:f>
        <x:v>546000</x:v>
      </x:c>
      <x:c r="E10" s="18" t="n">
        <x:f>SUM(E7:E8)-E9</x:f>
        <x:v>436800</x:v>
      </x:c>
      <x:c r="F10" s="18" t="n">
        <x:f>SUM(F7:F8)-F9</x:f>
        <x:v>327600</x:v>
      </x:c>
      <x:c r="G10" s="18" t="n">
        <x:f>SUM(G7:G8)-G9</x:f>
        <x:v>218400</x:v>
      </x:c>
      <x:c r="H10" s="18" t="n">
        <x:f>SUM(H7:H8)-H9</x:f>
        <x:v>109200</x:v>
      </x:c>
      <x:c r="I10" s="18" t="n">
        <x:f>SUM(I7:I8)-I9</x:f>
        <x:v>0</x:v>
      </x:c>
      <x:c r="J10" s="1"/>
      <x:c r="K10" s="1"/>
      <x:c r="L10" s="1"/>
    </x:row>
    <x:row r="11" ht="22" customHeight="1">
      <x:c r="A11" s="1"/>
      <x:c r="B11" s="1"/>
      <x:c r="C11" s="1" t="str">
        <x:v>Cash interest</x:v>
      </x:c>
      <x:c r="D11" s="18" t="n">
        <x:f>0</x:f>
        <x:v>0</x:v>
      </x:c>
      <x:c r="E11" s="26" t="n">
        <x:f>E7*'Assumptions'!$I$51</x:f>
        <x:v>40950</x:v>
      </x:c>
      <x:c r="F11" s="26" t="n">
        <x:f>F7*'Assumptions'!$I$51</x:f>
        <x:v>32760</x:v>
      </x:c>
      <x:c r="G11" s="26" t="n">
        <x:f>G7*'Assumptions'!$I$51</x:f>
        <x:v>24570</x:v>
      </x:c>
      <x:c r="H11" s="26" t="n">
        <x:f>H7*'Assumptions'!$I$51</x:f>
        <x:v>16380</x:v>
      </x:c>
      <x:c r="I11" s="26" t="n">
        <x:f>I7*'Assumptions'!$I$51</x:f>
        <x:v>8190</x:v>
      </x:c>
      <x:c r="J11" s="1"/>
      <x:c r="K11" s="1"/>
      <x:c r="L11" s="1"/>
    </x:row>
    <x:row r="12" ht="22" customHeight="1">
      <x:c r="A12" s="1"/>
      <x:c r="B12" s="1"/>
      <x:c r="C12" s="1" t="str">
        <x:v>Origination fee</x:v>
      </x:c>
      <x:c r="D12" s="26" t="n">
        <x:f>D8*'Assumptions'!I52</x:f>
        <x:v>5460</x:v>
      </x:c>
      <x:c r="E12" s="18" t="n">
        <x:f>0</x:f>
        <x:v>0</x:v>
      </x:c>
      <x:c r="F12" s="18" t="n">
        <x:f>0</x:f>
        <x:v>0</x:v>
      </x:c>
      <x:c r="G12" s="18" t="n">
        <x:f>0</x:f>
        <x:v>0</x:v>
      </x:c>
      <x:c r="H12" s="18" t="n">
        <x:f>0</x:f>
        <x:v>0</x:v>
      </x:c>
      <x:c r="I12" s="18" t="n">
        <x:f>0</x:f>
        <x:v>0</x:v>
      </x:c>
      <x:c r="J12" s="1"/>
      <x:c r="K12" s="1"/>
      <x:c r="L12" s="1"/>
    </x:row>
    <x:row r="13" ht="22" customHeight="1">
      <x:c r="A13" s="1"/>
      <x:c r="B13" s="1"/>
      <x:c r="C13" s="1" t="str">
        <x:v>Interest tax benefit</x:v>
      </x:c>
      <x:c r="D13" s="26" t="n">
        <x:f>D11*'Assumptions'!$I$44*'Assumptions'!$I$57</x:f>
        <x:v>0</x:v>
      </x:c>
      <x:c r="E13" s="26" t="n">
        <x:f>E11*'Assumptions'!$I$44*'Assumptions'!$I$57</x:f>
        <x:v>10237.5</x:v>
      </x:c>
      <x:c r="F13" s="26" t="n">
        <x:f>F11*'Assumptions'!$I$44*'Assumptions'!$I$57</x:f>
        <x:v>8190</x:v>
      </x:c>
      <x:c r="G13" s="26" t="n">
        <x:f>G11*'Assumptions'!$I$44*'Assumptions'!$I$57</x:f>
        <x:v>6142.5</x:v>
      </x:c>
      <x:c r="H13" s="26" t="n">
        <x:f>H11*'Assumptions'!$I$44*'Assumptions'!$I$57</x:f>
        <x:v>4095</x:v>
      </x:c>
      <x:c r="I13" s="26" t="n">
        <x:f>I11*'Assumptions'!$I$44*'Assumptions'!$I$57</x:f>
        <x:v>2047.5</x:v>
      </x:c>
      <x:c r="J13" s="1"/>
      <x:c r="K13" s="1"/>
      <x:c r="L13" s="1"/>
    </x:row>
    <x:row r="14" ht="22" customHeight="1">
      <x:c r="A14" s="1"/>
      <x:c r="B14" s="1"/>
      <x:c r="C14" s="1" t="str">
        <x:v>Replace equity cash flow</x:v>
      </x:c>
      <x:c r="D14" s="26" t="n">
        <x:f>'After Tax'!D18+D8-D9-D11-D12+D13</x:f>
        <x:v>-144960</x:v>
      </x:c>
      <x:c r="E14" s="26" t="n">
        <x:f>'After Tax'!E18+E8-E9-E11-E12+E13</x:f>
        <x:v>-348812.5</x:v>
      </x:c>
      <x:c r="F14" s="26" t="n">
        <x:f>'After Tax'!F18+F8-F9-F11-F12+F13</x:f>
        <x:v>-350107</x:v>
      </x:c>
      <x:c r="G14" s="26" t="n">
        <x:f>'After Tax'!G18+G8-G9-G11-G12+G13</x:f>
        <x:v>-351624.61</x:v>
      </x:c>
      <x:c r="H14" s="26" t="n">
        <x:f>'After Tax'!H18+H8-H9-H11-H12+H13</x:f>
        <x:v>-353372.0233</x:v>
      </x:c>
      <x:c r="I14" s="26" t="n">
        <x:f>'After Tax'!I18+I8-I9-I11-I12+I13</x:f>
        <x:v>-166356.133999</x:v>
      </x:c>
      <x:c r="J14" s="1"/>
      <x:c r="K14" s="1"/>
      <x:c r="L14" s="1"/>
    </x:row>
    <x:row r="15" ht="22" customHeight="1">
      <x:c r="A15" s="1"/>
      <x:c r="B15" s="1"/>
      <x:c r="C15" s="1"/>
      <x:c r="D15" s="25"/>
      <x:c r="E15" s="25"/>
      <x:c r="F15" s="25"/>
      <x:c r="G15" s="25"/>
      <x:c r="H15" s="25"/>
      <x:c r="I15" s="25"/>
      <x:c r="J15" s="1"/>
      <x:c r="K15" s="1"/>
      <x:c r="L15" s="1"/>
    </x:row>
    <x:row r="16" ht="22" customHeight="1">
      <x:c r="A16" s="1"/>
      <x:c r="B16" s="1"/>
      <x:c r="C16" s="1"/>
      <x:c r="D16" s="25"/>
      <x:c r="E16" s="25"/>
      <x:c r="F16" s="25"/>
      <x:c r="G16" s="25"/>
      <x:c r="H16" s="25"/>
      <x:c r="I16" s="25"/>
      <x:c r="J16" s="1"/>
      <x:c r="K16" s="1"/>
      <x:c r="L16" s="1"/>
    </x:row>
    <x:row r="17" ht="22" customHeight="1">
      <x:c r="A17" s="1"/>
      <x:c r="B17" s="1"/>
      <x:c r="C17" s="1" t="str">
        <x:v>Opening lease liability</x:v>
      </x:c>
      <x:c r="D17" s="26" t="n">
        <x:f>NPV('Assumptions'!I53,'Cash Flows'!E23:I23)</x:f>
        <x:v>846989.5996612386</x:v>
      </x:c>
      <x:c r="E17" s="18" t="n">
        <x:f>D20</x:f>
        <x:v>846989.5996612386</x:v>
      </x:c>
      <x:c r="F17" s="18" t="n">
        <x:f>E20</x:f>
        <x:v>712513.8196358315</x:v>
      </x:c>
      <x:c r="G17" s="18" t="n">
        <x:f>F20</x:f>
        <x:v>562012.3561085189</x:v>
      </x:c>
      <x:c r="H17" s="18" t="n">
        <x:f>G20</x:f>
        <x:v>394105.08281665784</x:v>
      </x:c>
      <x:c r="I17" s="18" t="n">
        <x:f>H20</x:f>
        <x:v>207303.01802790718</x:v>
      </x:c>
      <x:c r="J17" s="1"/>
      <x:c r="K17" s="1"/>
      <x:c r="L17" s="1"/>
    </x:row>
    <x:row r="18" ht="22" customHeight="1">
      <x:c r="A18" s="1"/>
      <x:c r="B18" s="1"/>
      <x:c r="C18" s="1" t="str">
        <x:v>Lease liability interest</x:v>
      </x:c>
      <x:c r="D18" s="18" t="n">
        <x:f>0</x:f>
        <x:v>0</x:v>
      </x:c>
      <x:c r="E18" s="26" t="n">
        <x:f>E17*'Assumptions'!$I$53</x:f>
        <x:v>63524.219974592896</x:v>
      </x:c>
      <x:c r="F18" s="26" t="n">
        <x:f>F17*'Assumptions'!$I$53</x:f>
        <x:v>53438.53647268736</x:v>
      </x:c>
      <x:c r="G18" s="26" t="n">
        <x:f>G17*'Assumptions'!$I$53</x:f>
        <x:v>42150.92670813892</x:v>
      </x:c>
      <x:c r="H18" s="26" t="n">
        <x:f>H17*'Assumptions'!$I$53</x:f>
        <x:v>29557.881211249336</x:v>
      </x:c>
      <x:c r="I18" s="26" t="n">
        <x:f>I17*'Assumptions'!$I$53</x:f>
        <x:v>15547.726352093037</x:v>
      </x:c>
      <x:c r="J18" s="1"/>
      <x:c r="K18" s="1"/>
      <x:c r="L18" s="1"/>
    </x:row>
    <x:row r="19" ht="22" customHeight="1">
      <x:c r="A19" s="1"/>
      <x:c r="B19" s="1"/>
      <x:c r="C19" s="1" t="str">
        <x:v>Contract rental payment</x:v>
      </x:c>
      <x:c r="D19" s="18" t="n">
        <x:f>0</x:f>
        <x:v>0</x:v>
      </x:c>
      <x:c r="E19" s="26" t="n">
        <x:f>'Cash Flows'!E23</x:f>
        <x:v>198000</x:v>
      </x:c>
      <x:c r="F19" s="26" t="n">
        <x:f>'Cash Flows'!F23</x:f>
        <x:v>203940</x:v>
      </x:c>
      <x:c r="G19" s="26" t="n">
        <x:f>'Cash Flows'!G23</x:f>
        <x:v>210058.19999999998</x:v>
      </x:c>
      <x:c r="H19" s="26" t="n">
        <x:f>'Cash Flows'!H23</x:f>
        <x:v>216359.946</x:v>
      </x:c>
      <x:c r="I19" s="26" t="n">
        <x:f>'Cash Flows'!I23</x:f>
        <x:v>222850.74438000002</x:v>
      </x:c>
      <x:c r="J19" s="1"/>
      <x:c r="K19" s="1"/>
      <x:c r="L19" s="1"/>
    </x:row>
    <x:row r="20" ht="22" customHeight="1">
      <x:c r="A20" s="1"/>
      <x:c r="B20" s="1"/>
      <x:c r="C20" s="1" t="str">
        <x:v>Closing lease liability</x:v>
      </x:c>
      <x:c r="D20" s="18" t="n">
        <x:f>D17</x:f>
        <x:v>846989.5996612386</x:v>
      </x:c>
      <x:c r="E20" s="18" t="n">
        <x:f>SUM(E17:E18)-E19</x:f>
        <x:v>712513.8196358315</x:v>
      </x:c>
      <x:c r="F20" s="18" t="n">
        <x:f>SUM(F17:F18)-F19</x:f>
        <x:v>562012.3561085189</x:v>
      </x:c>
      <x:c r="G20" s="18" t="n">
        <x:f>SUM(G17:G18)-G19</x:f>
        <x:v>394105.08281665784</x:v>
      </x:c>
      <x:c r="H20" s="18" t="n">
        <x:f>SUM(H17:H18)-H19</x:f>
        <x:v>207303.01802790718</x:v>
      </x:c>
      <x:c r="I20" s="18" t="n">
        <x:f>SUM(I17:I18)-I19</x:f>
        <x:v>2.0372681319713593e-10</x:v>
      </x:c>
      <x:c r="J20" s="1"/>
      <x:c r="K20" s="1"/>
      <x:c r="L20" s="1"/>
    </x:row>
    <x:row r="21" ht="22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</x:row>
    <x:row r="22" ht="22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</x:row>
    <x:row r="23" ht="22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</x:row>
    <x:row r="24" ht="22" customHeight="1">
      <x:c r="A24" s="1"/>
      <x:c r="B24" s="1"/>
      <x:c r="C24" s="5" t="str">
        <x:v>Loan cash flows are separate from unlevered NPV. Lease liability is a simplified obligation roll-forward.</x:v>
      </x:c>
      <x:c r="D24" s="5"/>
      <x:c r="E24" s="5"/>
      <x:c r="F24" s="5"/>
      <x:c r="G24" s="5"/>
      <x:c r="H24" s="5"/>
      <x:c r="I24" s="5"/>
      <x:c r="J24" s="5"/>
      <x:c r="K24" s="5"/>
      <x:c r="L24" s="1"/>
    </x:row>
    <x:row r="25" ht="22" customHeight="1">
      <x:c r="A25" s="1"/>
      <x:c r="B25" s="1"/>
      <x:c r="C25" s="5"/>
      <x:c r="D25" s="5"/>
      <x:c r="E25" s="5"/>
      <x:c r="F25" s="5"/>
      <x:c r="G25" s="5"/>
      <x:c r="H25" s="5"/>
      <x:c r="I25" s="5"/>
      <x:c r="J25" s="5"/>
      <x:c r="K25" s="5"/>
      <x:c r="L25" s="1"/>
    </x:row>
    <x:row r="26" ht="22" customHeight="1">
      <x:c r="A26" s="1"/>
      <x:c r="B26" s="1"/>
      <x:c r="C26" s="5"/>
      <x:c r="D26" s="5"/>
      <x:c r="E26" s="5"/>
      <x:c r="F26" s="5"/>
      <x:c r="G26" s="5"/>
      <x:c r="H26" s="5"/>
      <x:c r="I26" s="5"/>
      <x:c r="J26" s="5"/>
      <x:c r="K26" s="5"/>
      <x:c r="L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</x:row>
    <x:row r="28" ht="22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</x:row>
  </x:sheetData>
  <x:mergeCells>
    <x:mergeCell ref="D4:F4"/>
    <x:mergeCell ref="C24:K2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27" hidden="0" customWidth="1"/>
    <x:col min="4" max="4" width="27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  <x:col min="9" max="9" width="2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Decision ownership and approval</x:v>
      </x:c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1"/>
      <x:c r="B4" s="1"/>
      <x:c r="C4" s="1" t="str">
        <x:v>Roles and deadlines are proposed within a synthetic case.</x:v>
      </x:c>
      <x:c r="D4" s="1"/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15" hidden="0" customHeight="1">
      <x:c r="A6" s="1"/>
      <x:c r="B6" s="1"/>
      <x:c r="C6" s="23" t="str">
        <x:v>Action</x:v>
      </x:c>
      <x:c r="D6" s="23" t="str">
        <x:v>Proposed owner</x:v>
      </x:c>
      <x:c r="E6" s="23" t="str">
        <x:v>Due from approval</x:v>
      </x:c>
      <x:c r="F6" s="23" t="str">
        <x:v>Trigger / evidence</x:v>
      </x:c>
      <x:c r="G6" s="23" t="str">
        <x:v>Approval needed</x:v>
      </x:c>
      <x:c r="H6" s="23" t="str">
        <x:v>Status</x:v>
      </x:c>
      <x:c r="I6" s="23" t="str">
        <x:v>Evidence link</x:v>
      </x:c>
      <x:c r="J6" s="1"/>
      <x:c r="K6" s="1"/>
      <x:c r="L6" s="1"/>
    </x:row>
    <x:row r="7" ht="26.399999618530273" hidden="0" customHeight="1">
      <x:c r="A7" s="1"/>
      <x:c r="B7" s="1"/>
      <x:c r="C7" s="5" t="str">
        <x:v>Obtain purchase and lease quotes</x:v>
      </x:c>
      <x:c r="D7" s="5" t="str">
        <x:v>Fleet + Procurement</x:v>
      </x:c>
      <x:c r="E7" s="5" t="str">
        <x:v>Day 10</x:v>
      </x:c>
      <x:c r="F7" s="5" t="str">
        <x:v>Comparable service and coverage</x:v>
      </x:c>
      <x:c r="G7" s="5" t="str">
        <x:v>Procurement lead</x:v>
      </x:c>
      <x:c r="H7" s="5" t="str">
        <x:v>Proposed</x:v>
      </x:c>
      <x:c r="I7" s="5" t="str"/>
      <x:c r="J7" s="1"/>
      <x:c r="K7" s="1"/>
      <x:c r="L7" s="1"/>
    </x:row>
    <x:row r="8" ht="26.399999618530273" hidden="0" customHeight="1">
      <x:c r="A8" s="1"/>
      <x:c r="B8" s="1"/>
      <x:c r="C8" s="5" t="str">
        <x:v>Approve capital and liquidity</x:v>
      </x:c>
      <x:c r="D8" s="5" t="str">
        <x:v>Finance + Treasury</x:v>
      </x:c>
      <x:c r="E8" s="5" t="str">
        <x:v>Day 15</x:v>
      </x:c>
      <x:c r="F8" s="5" t="str">
        <x:v>Net upfront cash within $700k</x:v>
      </x:c>
      <x:c r="G8" s="5" t="str">
        <x:v>Investment committee</x:v>
      </x:c>
      <x:c r="H8" s="5" t="str">
        <x:v>Proposed</x:v>
      </x:c>
      <x:c r="I8" s="5" t="str"/>
      <x:c r="J8" s="1"/>
      <x:c r="K8" s="1"/>
      <x:c r="L8" s="1"/>
    </x:row>
    <x:row r="9" ht="26.399999618530273" hidden="0" customHeight="1">
      <x:c r="A9" s="1"/>
      <x:c r="B9" s="1"/>
      <x:c r="C9" s="5" t="str">
        <x:v>Verify tax and residual assumptions</x:v>
      </x:c>
      <x:c r="D9" s="5" t="str">
        <x:v>Finance</x:v>
      </x:c>
      <x:c r="E9" s="5" t="str">
        <x:v>Before commitment</x:v>
      </x:c>
      <x:c r="F9" s="5" t="str">
        <x:v>Tax-adjusted economics reviewed</x:v>
      </x:c>
      <x:c r="G9" s="5" t="str">
        <x:v>Finance lead</x:v>
      </x:c>
      <x:c r="H9" s="5" t="str">
        <x:v>Proposed</x:v>
      </x:c>
      <x:c r="I9" s="5" t="str"/>
      <x:c r="J9" s="1"/>
      <x:c r="K9" s="1"/>
      <x:c r="L9" s="1"/>
    </x:row>
    <x:row r="10" ht="26.399999618530273" hidden="0" customHeight="1">
      <x:c r="A10" s="1"/>
      <x:c r="B10" s="1"/>
      <x:c r="C10" s="5" t="str">
        <x:v>Review benefits after commissioning</x:v>
      </x:c>
      <x:c r="D10" s="5" t="str">
        <x:v>Fleet + Finance</x:v>
      </x:c>
      <x:c r="E10" s="5" t="str">
        <x:v>Days 30 / 90 / 180</x:v>
      </x:c>
      <x:c r="F10" s="5" t="str">
        <x:v>Maintenance, mpg, downtime vs plan</x:v>
      </x:c>
      <x:c r="G10" s="5" t="str">
        <x:v>Operations lead</x:v>
      </x:c>
      <x:c r="H10" s="5" t="str">
        <x:v>Proposed</x:v>
      </x:c>
      <x:c r="I10" s="5" t="str"/>
      <x:c r="J10" s="1"/>
      <x:c r="K10" s="1"/>
      <x:c r="L10" s="1"/>
    </x:row>
    <x:row r="11" ht="22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</x:row>
    <x:row r="12" ht="22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</x:row>
    <x:row r="13" ht="22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</x:row>
    <x:row r="14" ht="22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</x:row>
    <x:row r="15" ht="22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</x:row>
    <x:row r="16" ht="22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</x:row>
    <x:row r="17" ht="22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</x:row>
    <x:row r="18" ht="22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</x:row>
    <x:row r="19" ht="22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</x:row>
    <x:row r="20" ht="22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</x:row>
    <x:row r="21" ht="22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</x:row>
    <x:row r="22" ht="22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</x:row>
    <x:row r="23" ht="22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</x:row>
    <x:row r="24" ht="22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</x:row>
    <x:row r="25" ht="22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</x:row>
    <x:row r="28" ht="22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</x:row>
  </x:sheetData>
  <x:mergeCells>
    <x:mergeCell ref="C4:I4"/>
  </x:mergeCells>
  <x:dataValidations count="1">
    <x:dataValidation type="list" sqref="H7:H10">
      <x:formula1>"Proposed,In progress,Completed,Blocked"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42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1"/>
      <x:c r="B2" s="1"/>
      <x:c r="C2" s="2" t="str">
        <x:v>Reconciliation checks</x:v>
      </x:c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1"/>
      <x:c r="B3" s="1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15" hidden="0" customHeight="1">
      <x:c r="A6" s="1"/>
      <x:c r="B6" s="1"/>
      <x:c r="C6" s="23" t="str">
        <x:v>Check</x:v>
      </x:c>
      <x:c r="D6" s="23" t="str">
        <x:v>Difference</x:v>
      </x:c>
      <x:c r="E6" s="23" t="str">
        <x:v>Tolerance (USD)</x:v>
      </x:c>
      <x:c r="F6" s="1"/>
      <x:c r="G6" s="1"/>
      <x:c r="H6" s="1"/>
      <x:c r="I6" s="1"/>
      <x:c r="J6" s="1"/>
      <x:c r="K6" s="1"/>
      <x:c r="L6" s="1"/>
    </x:row>
    <x:row r="7" ht="15" hidden="0" customHeight="1">
      <x:c r="A7" s="1"/>
      <x:c r="B7" s="1"/>
      <x:c r="C7" s="5" t="str">
        <x:v>Replace incremental NPV</x:v>
      </x:c>
      <x:c r="D7" s="39" t="n">
        <x:f>'Summary'!F8-SUMPRODUCT('After Tax'!D34:I34,'After Tax'!D28:I28)</x:f>
        <x:v>2.0372681319713593e-10</x:v>
      </x:c>
      <x:c r="E7" s="39" t="n">
        <x:v>0.01</x:v>
      </x:c>
      <x:c r="F7" s="1"/>
      <x:c r="G7" s="1"/>
      <x:c r="H7" s="1"/>
      <x:c r="I7" s="1"/>
      <x:c r="J7" s="1"/>
      <x:c r="K7" s="1"/>
      <x:c r="L7" s="1"/>
    </x:row>
    <x:row r="8" ht="15" hidden="0" customHeight="1">
      <x:c r="A8" s="1"/>
      <x:c r="B8" s="1"/>
      <x:c r="C8" s="5" t="str">
        <x:v>Lease incremental NPV</x:v>
      </x:c>
      <x:c r="D8" s="39" t="n">
        <x:f>'Summary'!F9-SUMPRODUCT('After Tax'!D35:I35,'After Tax'!D28:I28)</x:f>
        <x:v>-1.7462298274040222e-10</x:v>
      </x:c>
      <x:c r="E8" s="39" t="n">
        <x:v>0.01</x:v>
      </x:c>
      <x:c r="F8" s="1"/>
      <x:c r="G8" s="1"/>
      <x:c r="H8" s="1"/>
      <x:c r="I8" s="1"/>
      <x:c r="J8" s="1"/>
      <x:c r="K8" s="1"/>
      <x:c r="L8" s="1"/>
    </x:row>
    <x:row r="9" ht="15" hidden="0" customHeight="1">
      <x:c r="A9" s="1"/>
      <x:c r="B9" s="1"/>
      <x:c r="C9" s="5" t="str">
        <x:v>Loan repaid in year 5</x:v>
      </x:c>
      <x:c r="D9" s="39" t="n">
        <x:f>'Financing'!I10</x:f>
        <x:v>0</x:v>
      </x:c>
      <x:c r="E9" s="39" t="n">
        <x:v>0.01</x:v>
      </x:c>
      <x:c r="F9" s="1"/>
      <x:c r="G9" s="1"/>
      <x:c r="H9" s="1"/>
      <x:c r="I9" s="1"/>
      <x:c r="J9" s="1"/>
      <x:c r="K9" s="1"/>
      <x:c r="L9" s="1"/>
    </x:row>
    <x:row r="10" ht="22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</x:row>
    <x:row r="11" ht="22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</x:row>
    <x:row r="12" ht="22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</x:row>
    <x:row r="13" ht="22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</x:row>
    <x:row r="14" ht="22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</x:row>
    <x:row r="15" ht="22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</x:row>
    <x:row r="16" ht="22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</x:row>
    <x:row r="17" ht="22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</x:row>
    <x:row r="18" ht="22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</x:row>
    <x:row r="19" ht="22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</x:row>
    <x:row r="20" ht="22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</x:row>
    <x:row r="21" ht="22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</x:row>
    <x:row r="22" ht="22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</x:row>
    <x:row r="23" ht="22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</x:row>
    <x:row r="24" ht="22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</x:row>
    <x:row r="25" ht="22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</x:row>
    <x:row r="28" ht="22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</x:row>
  </x:sheetData>
  <x:conditionalFormatting sqref="D7:D9">
    <x:cfRule type="expression" dxfId="0" priority="1">
      <x:formula>ABS(D7)&gt;E7</x:formula>
    </x:cfRule>
  </x:conditionalFormatting>
  <x:pageMargins left="0.7" right="0.7" top="0.75" bottom="0.75" header="0.3" footer="0.3"/>
</x:worksheet>
</file>