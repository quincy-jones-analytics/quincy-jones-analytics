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8289263a2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667949a8574fe7"/>
    <x:sheet xmlns:r="http://schemas.openxmlformats.org/officeDocument/2006/relationships" name="Assumptions" sheetId="2" r:id="R85f9ea5147e14e77"/>
    <x:sheet xmlns:r="http://schemas.openxmlformats.org/officeDocument/2006/relationships" name="Detail" sheetId="3" r:id="R8cedccd88862437d"/>
    <x:sheet xmlns:r="http://schemas.openxmlformats.org/officeDocument/2006/relationships" name="Monthly" sheetId="4" r:id="R317e98b23a854a43"/>
    <x:sheet xmlns:r="http://schemas.openxmlformats.org/officeDocument/2006/relationships" name="Variance" sheetId="5" r:id="R04917137034e457c"/>
    <x:sheet xmlns:r="http://schemas.openxmlformats.org/officeDocument/2006/relationships" name="Source" sheetId="6" r:id="Rf2498e57f0744c91"/>
    <x:sheet xmlns:r="http://schemas.openxmlformats.org/officeDocument/2006/relationships" name="Review" sheetId="7" r:id="Re9159cddff634475"/>
    <x:sheet xmlns:r="http://schemas.openxmlformats.org/officeDocument/2006/relationships" name="Working Capital" sheetId="8" r:id="R8ca88b55ecb34b59"/>
    <x:sheet xmlns:r="http://schemas.openxmlformats.org/officeDocument/2006/relationships" name="Debt" sheetId="9" r:id="Re3240f59d8d64b31"/>
    <x:sheet xmlns:r="http://schemas.openxmlformats.org/officeDocument/2006/relationships" name="Statements" sheetId="10" r:id="R95aa1d939d324307"/>
    <x:sheet xmlns:r="http://schemas.openxmlformats.org/officeDocument/2006/relationships" name="Actions" sheetId="11" r:id="R36b188617c2c4f87"/>
    <x:sheet xmlns:r="http://schemas.openxmlformats.org/officeDocument/2006/relationships" name="Audit" sheetId="12" r:id="R8d05b9ed9a20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mmm-yy"/>
    <x:numFmt numFmtId="202" formatCode="#,##0;(#,##0);&quot;-&quot;"/>
    <x:numFmt numFmtId="203" formatCode="0.00"/>
    <x:numFmt numFmtId="204" formatCode="$#,##0;($#,##0);&quot;-&quot;"/>
    <x:numFmt numFmtId="205" formatCode="0"/>
  </x:numFmts>
  <x:fonts count="7">
    <x:font>
      <x:sz val="11"/>
      <x:name val="Carlito"/>
    </x:font>
    <x:font>
      <x:sz val="11"/>
      <x:color rgb="FF172C43"/>
      <x:name val="Arial"/>
    </x:font>
    <x:font>
      <x:b/>
      <x:sz val="16"/>
      <x:color rgb="FF17324D"/>
      <x:name val="Arial"/>
    </x:font>
    <x:font>
      <x:sz val="11"/>
      <x:color rgb="FF0759E6"/>
      <x:name val="Arial"/>
    </x:font>
    <x:font>
      <x:sz val="11"/>
      <x:color rgb="FF111111"/>
      <x:name val="Arial"/>
    </x:font>
    <x:font>
      <x:sz val="11"/>
      <x:color rgb="FF087A5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8"/>
      </x:patternFill>
    </x:fill>
    <x:fill>
      <x:patternFill patternType="solid">
        <x:fgColor rgb="FF17324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BAFC4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4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2" borderId="0" xfId="0" applyNumberFormat="1" applyFont="1" applyFill="1" applyBorder="1"/>
    <x:xf numFmtId="200" fontId="4" fillId="2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4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4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3" fontId="4" fillId="0" borderId="0" xfId="0" applyNumberFormat="1" applyFont="1" applyFill="1" applyBorder="1"/>
    <x:xf numFmtId="203" fontId="5" fillId="0" borderId="0" xfId="0" applyNumberFormat="1" applyFont="1" applyFill="1" applyBorder="1" applyAlignment="1">
      <x:alignment wrapText="1"/>
    </x:xf>
    <x:xf numFmtId="205" fontId="3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3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205" fontId="4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a9076724e0454e" /><Relationship Type="http://schemas.openxmlformats.org/officeDocument/2006/relationships/theme" Target="/xl/theme/theme1.xml" Id="Rcf23a04e75d548c2" /><Relationship Type="http://schemas.openxmlformats.org/officeDocument/2006/relationships/sharedStrings" Target="/xl/sharedStrings.xml" Id="Rf6bd53193f134eb0" /><Relationship Type="http://schemas.openxmlformats.org/officeDocument/2006/relationships/worksheet" Target="/xl/worksheets/sheet1.xml" Id="R16667949a8574fe7" /><Relationship Type="http://schemas.openxmlformats.org/officeDocument/2006/relationships/worksheet" Target="/xl/worksheets/sheet2.xml" Id="R85f9ea5147e14e77" /><Relationship Type="http://schemas.openxmlformats.org/officeDocument/2006/relationships/worksheet" Target="/xl/worksheets/sheet3.xml" Id="R8cedccd88862437d" /><Relationship Type="http://schemas.openxmlformats.org/officeDocument/2006/relationships/worksheet" Target="/xl/worksheets/sheet4.xml" Id="R317e98b23a854a43" /><Relationship Type="http://schemas.openxmlformats.org/officeDocument/2006/relationships/worksheet" Target="/xl/worksheets/sheet5.xml" Id="R04917137034e457c" /><Relationship Type="http://schemas.openxmlformats.org/officeDocument/2006/relationships/worksheet" Target="/xl/worksheets/sheet6.xml" Id="Rf2498e57f0744c91" /><Relationship Type="http://schemas.openxmlformats.org/officeDocument/2006/relationships/worksheet" Target="/xl/worksheets/sheet7.xml" Id="Re9159cddff634475" /><Relationship Type="http://schemas.openxmlformats.org/officeDocument/2006/relationships/worksheet" Target="/xl/worksheets/sheet8.xml" Id="R8ca88b55ecb34b59" /><Relationship Type="http://schemas.openxmlformats.org/officeDocument/2006/relationships/worksheet" Target="/xl/worksheets/sheet9.xml" Id="Re3240f59d8d64b31" /><Relationship Type="http://schemas.openxmlformats.org/officeDocument/2006/relationships/worksheet" Target="/xl/worksheets/sheet10.xml" Id="R95aa1d939d324307" /><Relationship Type="http://schemas.openxmlformats.org/officeDocument/2006/relationships/worksheet" Target="/xl/worksheets/sheet11.xml" Id="R36b188617c2c4f87" /><Relationship Type="http://schemas.openxmlformats.org/officeDocument/2006/relationships/worksheet" Target="/xl/worksheets/sheet12.xml" Id="R8d05b9ed9a2048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d0c385d1a746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Monthly revenue and EBITDA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17324D"/>
            </a:solidFill>
            <a:ln xmlns:a="http://schemas.openxmlformats.org/drawingml/2006/main" w="19050">
              <a:solidFill>
                <a:srgbClr val="17324D"/>
              </a:solidFill>
              <a:prstDash val="solid"/>
            </a:ln>
          </c:spPr>
          <c:marker>
            <c:symbol val="none"/>
          </c:marker>
          <c:cat>
            <c:strRef>
              <c:f>'Summary'!$C$17:$C$28</c:f>
              <c:strCache>
                <c:ptCount val="0"/>
              </c:strCache>
            </c:strRef>
          </c:cat>
          <c:val>
            <c:numRef>
              <c:f>'Summary'!$D$17:$D$28</c:f>
              <c:numCache>
                <c:formatCode>$#,##0;($#,##0);"-"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EBITDA</c:v>
          </c:tx>
          <c:spPr>
            <a:solidFill xmlns:a="http://schemas.openxmlformats.org/drawingml/2006/main">
              <a:srgbClr val="15A6AC"/>
            </a:solidFill>
            <a:ln xmlns:a="http://schemas.openxmlformats.org/drawingml/2006/main" w="19050">
              <a:solidFill>
                <a:srgbClr val="15A6AC"/>
              </a:solidFill>
              <a:prstDash val="solid"/>
            </a:ln>
          </c:spPr>
          <c:marker>
            <c:symbol val="none"/>
          </c:marker>
          <c:cat>
            <c:strRef>
              <c:f>'Summary'!$C$17:$C$28</c:f>
              <c:strCache>
                <c:ptCount val="0"/>
              </c:strCache>
            </c:strRef>
          </c:cat>
          <c:val>
            <c:numRef>
              <c:f>'Summary'!$E$17:$E$28</c:f>
              <c:numCache>
                <c:formatCode>$#,##0;($#,##0);"-"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d0c385d1a746d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d857dd78ea4e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2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1"/>
      <x:c r="B2" s="1"/>
      <x:c r="C2" s="2" t="str">
        <x:v>Transportation operating plan (2026)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15" hidden="0" customHeight="1">
      <x:c r="A6" s="1"/>
      <x:c r="B6" s="1"/>
      <x:c r="C6" s="14" t="str">
        <x:v>Metric</x:v>
      </x:c>
      <x:c r="D6" s="14" t="str">
        <x:v>Value</x:v>
      </x:c>
      <x:c r="E6" s="14" t="str">
        <x:v>Period / basis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15" hidden="0" customHeight="1">
      <x:c r="A7" s="1"/>
      <x:c r="B7" s="1"/>
      <x:c r="C7" s="5" t="str">
        <x:v>Revenue</x:v>
      </x:c>
      <x:c r="D7" s="35" t="n">
        <x:f>SUM('Monthly'!D7:O7)</x:f>
        <x:v>11308100.495757783</x:v>
      </x:c>
      <x:c r="E7" s="5" t="str">
        <x:v>Full year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15" hidden="0" customHeight="1">
      <x:c r="A8" s="1"/>
      <x:c r="B8" s="1"/>
      <x:c r="C8" s="5" t="str">
        <x:v>EBITDA</x:v>
      </x:c>
      <x:c r="D8" s="35" t="n">
        <x:f>SUM('Monthly'!D11:O11)</x:f>
        <x:v>124447.47550231018</x:v>
      </x:c>
      <x:c r="E8" s="5" t="str">
        <x:v>Full year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15" hidden="0" customHeight="1">
      <x:c r="A9" s="1"/>
      <x:c r="B9" s="1"/>
      <x:c r="C9" s="5" t="str">
        <x:v>EBITDA margin</x:v>
      </x:c>
      <x:c r="D9" s="36" t="n">
        <x:f>D8/D7</x:f>
        <x:v>0.011005161790788512</x:v>
      </x:c>
      <x:c r="E9" s="5" t="str">
        <x:v>Full year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15" hidden="0" customHeight="1">
      <x:c r="A10" s="1"/>
      <x:c r="B10" s="1"/>
      <x:c r="C10" s="5" t="str">
        <x:v>Ending cash</x:v>
      </x:c>
      <x:c r="D10" s="35" t="n">
        <x:f>'Monthly'!O22</x:f>
        <x:v>508855.1978997918</x:v>
      </x:c>
      <x:c r="E10" s="5" t="str">
        <x:v>December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15" hidden="0" customHeight="1">
      <x:c r="A11" s="1"/>
      <x:c r="B11" s="1"/>
      <x:c r="C11" s="5" t="str">
        <x:v>Lowest cash</x:v>
      </x:c>
      <x:c r="D11" s="35" t="n">
        <x:f>MIN('Monthly'!J22:O22)</x:f>
        <x:v>279760.08444999997</x:v>
      </x:c>
      <x:c r="E11" s="5" t="str">
        <x:v>Jul-Dec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15" hidden="0" customHeight="1">
      <x:c r="A16" s="1"/>
      <x:c r="B16" s="1"/>
      <x:c r="C16" s="14" t="str">
        <x:v>Month</x:v>
      </x:c>
      <x:c r="D16" s="14" t="str">
        <x:v>Revenue</x:v>
      </x:c>
      <x:c r="E16" s="14" t="str">
        <x:v>EBITDA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15" hidden="0" customHeight="1">
      <x:c r="A17" s="1"/>
      <x:c r="B17" s="1"/>
      <x:c r="C17" s="5" t="str">
        <x:v>Jan</x:v>
      </x:c>
      <x:c r="D17" s="35" t="n">
        <x:f>'Monthly'!D7</x:f>
        <x:v>791671.1200000001</x:v>
      </x:c>
      <x:c r="E17" s="35" t="n">
        <x:f>'Monthly'!D11</x:f>
        <x:v>-37060.74999999997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15" hidden="0" customHeight="1">
      <x:c r="A18" s="1"/>
      <x:c r="B18" s="1"/>
      <x:c r="C18" s="5" t="str">
        <x:v>Feb</x:v>
      </x:c>
      <x:c r="D18" s="35" t="n">
        <x:f>'Monthly'!E7</x:f>
        <x:v>780722.73</x:v>
      </x:c>
      <x:c r="E18" s="35" t="n">
        <x:f>'Monthly'!E11</x:f>
        <x:v>-42914.73999999993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15" hidden="0" customHeight="1">
      <x:c r="A19" s="1"/>
      <x:c r="B19" s="1"/>
      <x:c r="C19" s="5" t="str">
        <x:v>Mar</x:v>
      </x:c>
      <x:c r="D19" s="35" t="n">
        <x:f>'Monthly'!F7</x:f>
        <x:v>854894</x:v>
      </x:c>
      <x:c r="E19" s="35" t="n">
        <x:f>'Monthly'!F11</x:f>
        <x:v>-9607.620000000112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15" hidden="0" customHeight="1">
      <x:c r="A20" s="1"/>
      <x:c r="B20" s="1"/>
      <x:c r="C20" s="5" t="str">
        <x:v>Apr</x:v>
      </x:c>
      <x:c r="D20" s="35" t="n">
        <x:f>'Monthly'!G7</x:f>
        <x:v>844013.8799999999</x:v>
      </x:c>
      <x:c r="E20" s="35" t="n">
        <x:f>'Monthly'!G11</x:f>
        <x:v>-15432.100000000006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15" hidden="0" customHeight="1">
      <x:c r="A21" s="1"/>
      <x:c r="B21" s="1"/>
      <x:c r="C21" s="5" t="str">
        <x:v>May</x:v>
      </x:c>
      <x:c r="D21" s="35" t="n">
        <x:f>'Monthly'!H7</x:f>
        <x:v>885603.54</x:v>
      </x:c>
      <x:c r="E21" s="35" t="n">
        <x:f>'Monthly'!H11</x:f>
        <x:v>2850.1600000000035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15" hidden="0" customHeight="1">
      <x:c r="A22" s="1"/>
      <x:c r="B22" s="1"/>
      <x:c r="C22" s="5" t="str">
        <x:v>Jun</x:v>
      </x:c>
      <x:c r="D22" s="35" t="n">
        <x:f>'Monthly'!I7</x:f>
        <x:v>874714.5199999999</x:v>
      </x:c>
      <x:c r="E22" s="35" t="n">
        <x:f>'Monthly'!I11</x:f>
        <x:v>-3001.660000000091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15" hidden="0" customHeight="1">
      <x:c r="A23" s="1"/>
      <x:c r="B23" s="1"/>
      <x:c r="C23" s="5" t="str">
        <x:v>Jul</x:v>
      </x:c>
      <x:c r="D23" s="35" t="n">
        <x:f>'Monthly'!J7</x:f>
        <x:v>910447.8928</x:v>
      </x:c>
      <x:c r="E23" s="35" t="n">
        <x:f>'Monthly'!J11</x:f>
        <x:v>3667.364050000062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15" hidden="0" customHeight="1">
      <x:c r="A24" s="1"/>
      <x:c r="B24" s="1"/>
      <x:c r="C24" s="5" t="str">
        <x:v>Aug</x:v>
      </x:c>
      <x:c r="D24" s="35" t="n">
        <x:f>'Monthly'!K7</x:f>
        <x:v>965634.71293132</x:v>
      </x:c>
      <x:c r="E24" s="35" t="n">
        <x:f>'Monthly'!K11</x:f>
        <x:v>18703.305668819987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15" hidden="0" customHeight="1">
      <x:c r="A25" s="1"/>
      <x:c r="B25" s="1"/>
      <x:c r="C25" s="5" t="str">
        <x:v>Sep</x:v>
      </x:c>
      <x:c r="D25" s="35" t="n">
        <x:f>'Monthly'!L7</x:f>
        <x:v>965846.2469509438</x:v>
      </x:c>
      <x:c r="E25" s="35" t="n">
        <x:f>'Monthly'!L11</x:f>
        <x:v>8550.427446801477</x:v>
      </x:c>
      <x:c r="F25" s="1"/>
      <x:c r="G25" s="1"/>
      <x:c r="H25" s="5" t="str">
        <x:v>Review price realization, volume, and cost inflation together.</x:v>
      </x:c>
      <x:c r="I25" s="5"/>
      <x:c r="J25" s="5"/>
      <x:c r="K25" s="5"/>
      <x:c r="L25" s="5"/>
      <x:c r="M25" s="5"/>
      <x:c r="N25" s="5"/>
      <x:c r="O25" s="5"/>
    </x:row>
    <x:row r="26" ht="15" hidden="0" customHeight="1">
      <x:c r="A26" s="1"/>
      <x:c r="B26" s="1"/>
      <x:c r="C26" s="5" t="str">
        <x:v>Oct</x:v>
      </x:c>
      <x:c r="D26" s="35" t="n">
        <x:f>'Monthly'!M7</x:f>
        <x:v>1063956.4777685371</x:v>
      </x:c>
      <x:c r="E26" s="35" t="n">
        <x:f>'Monthly'!M11</x:f>
        <x:v>41775.28110011376</x:v>
      </x:c>
      <x:c r="F26" s="1"/>
      <x:c r="G26" s="1"/>
      <x:c r="H26" s="5"/>
      <x:c r="I26" s="5"/>
      <x:c r="J26" s="5"/>
      <x:c r="K26" s="5"/>
      <x:c r="L26" s="5"/>
      <x:c r="M26" s="5"/>
      <x:c r="N26" s="5"/>
      <x:c r="O26" s="5"/>
    </x:row>
    <x:row r="27" ht="15" hidden="0" customHeight="1">
      <x:c r="A27" s="1"/>
      <x:c r="B27" s="1"/>
      <x:c r="C27" s="5" t="str">
        <x:v>Nov</x:v>
      </x:c>
      <x:c r="D27" s="35" t="n">
        <x:f>'Monthly'!N7</x:f>
        <x:v>1146725.4969682184</x:v>
      </x:c>
      <x:c r="E27" s="35" t="n">
        <x:f>'Monthly'!N11</x:f>
        <x:v>67306.19943047158</x:v>
      </x:c>
      <x:c r="F27" s="1"/>
      <x:c r="G27" s="1"/>
      <x:c r="H27" s="5" t="str">
        <x:v>Synthetic case. Statements include AR/AP lags, PP&amp;E, debt, interest and tax losses.</x:v>
      </x:c>
      <x:c r="I27" s="5"/>
      <x:c r="J27" s="5"/>
      <x:c r="K27" s="5"/>
      <x:c r="L27" s="5"/>
      <x:c r="M27" s="5"/>
      <x:c r="N27" s="5"/>
      <x:c r="O27" s="5"/>
    </x:row>
    <x:row r="28" ht="15" hidden="0" customHeight="1">
      <x:c r="A28" s="1"/>
      <x:c r="B28" s="1"/>
      <x:c r="C28" s="5" t="str">
        <x:v>Dec</x:v>
      </x:c>
      <x:c r="D28" s="35" t="n">
        <x:f>'Monthly'!O7</x:f>
        <x:v>1223869.8783387616</x:v>
      </x:c>
      <x:c r="E28" s="35" t="n">
        <x:f>'Monthly'!O11</x:f>
        <x:v>89611.60780610342</x:v>
      </x:c>
      <x:c r="F28" s="1"/>
      <x:c r="G28" s="1"/>
      <x:c r="H28" s="5"/>
      <x:c r="I28" s="5"/>
      <x:c r="J28" s="5"/>
      <x:c r="K28" s="5"/>
      <x:c r="L28" s="5"/>
      <x:c r="M28" s="5"/>
      <x:c r="N28" s="5"/>
      <x:c r="O28" s="5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D4:F4"/>
    <x:mergeCell ref="H25:O26"/>
    <x:mergeCell ref="H27:O28"/>
  </x:mergeCells>
  <x:pageMargins left="0.7" right="0.7" top="0.75" bottom="0.75" header="0.3" footer="0.3"/>
  <x:drawing xmlns:r="http://schemas.openxmlformats.org/officeDocument/2006/relationships" r:id="R10d857dd78ea4ec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32" hidden="0" customWidth="1"/>
    <x:col min="7" max="7" width="32" hidden="0" customWidth="1"/>
    <x:col min="8" max="8" width="32" hidden="0" customWidth="1"/>
    <x:col min="9" max="9" width="23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Operating assumptions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/>
      <x:c r="D4" s="6" t="str">
        <x:f>CHOOSE(D5,"Base","Downside","Upside")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 t="str">
        <x:v>Case selected</x:v>
      </x:c>
      <x:c r="D5" s="4" t="n">
        <x:v>1</x:v>
      </x:c>
      <x:c r="E5" s="1"/>
      <x:c r="F5" s="5" t="str">
        <x:v>1 Base / 2 Downside / 3 Upside</x:v>
      </x:c>
      <x:c r="G5" s="5"/>
      <x:c r="H5" s="5"/>
      <x:c r="I5" s="5"/>
      <x:c r="J5" s="5"/>
      <x:c r="K5" s="5"/>
      <x:c r="L5" s="1"/>
    </x:row>
    <x:row r="6" ht="22" customHeight="1">
      <x:c r="A6" s="1"/>
      <x:c r="B6" s="1"/>
      <x:c r="C6" s="1"/>
      <x:c r="D6" s="1"/>
      <x:c r="E6" s="1"/>
      <x:c r="F6" s="5"/>
      <x:c r="G6" s="5"/>
      <x:c r="H6" s="5"/>
      <x:c r="I6" s="5"/>
      <x:c r="J6" s="5"/>
      <x:c r="K6" s="5"/>
      <x:c r="L6" s="1"/>
    </x:row>
    <x:row r="7" ht="22" customHeight="1">
      <x:c r="A7" s="1"/>
      <x:c r="B7" s="1"/>
      <x:c r="C7" s="1"/>
      <x:c r="D7" s="1"/>
      <x:c r="E7" s="1"/>
      <x:c r="F7" s="1"/>
      <x:c r="G7" s="42"/>
      <x:c r="H7" s="1"/>
      <x:c r="I7" s="1"/>
      <x:c r="J7" s="1"/>
      <x:c r="K7" s="1"/>
      <x:c r="L7" s="1"/>
    </x:row>
    <x:row r="8" ht="15" hidden="0" customHeight="1">
      <x:c r="A8" s="1"/>
      <x:c r="B8" s="1"/>
      <x:c r="C8" s="10" t="str">
        <x:v>Monthly unit growth (active)</x:v>
      </x:c>
      <x:c r="D8" s="11" t="n">
        <x:f>IF(ISNUMBER(CHOOSE($D$5,D9,D10,D11)),CHOOSE($D$5,D9,D10,D11),NA())</x:f>
        <x:v>0.012</x:v>
      </x:c>
      <x:c r="E8" s="1"/>
      <x:c r="F8" s="19" t="str">
        <x:v>Cash assumptions are in the expanded driver block below.</x:v>
      </x:c>
      <x:c r="G8" s="43"/>
      <x:c r="H8" s="19"/>
      <x:c r="I8" s="19"/>
      <x:c r="J8" s="1"/>
      <x:c r="K8" s="1"/>
      <x:c r="L8" s="1"/>
    </x:row>
    <x:row r="9" ht="15" hidden="0" customHeight="1">
      <x:c r="A9" s="1"/>
      <x:c r="B9" s="1"/>
      <x:c r="C9" s="1" t="str">
        <x:v>Base</x:v>
      </x:c>
      <x:c r="D9" s="9" t="n">
        <x:v>0.012</x:v>
      </x:c>
      <x:c r="E9" s="1"/>
      <x:c r="F9" s="19"/>
      <x:c r="G9" s="43"/>
      <x:c r="H9" s="19"/>
      <x:c r="I9" s="19"/>
      <x:c r="J9" s="1"/>
      <x:c r="K9" s="1"/>
      <x:c r="L9" s="1"/>
    </x:row>
    <x:row r="10" ht="26.399999618530273" hidden="0" customHeight="1">
      <x:c r="A10" s="1"/>
      <x:c r="B10" s="1"/>
      <x:c r="C10" s="1" t="str">
        <x:v>Downside</x:v>
      </x:c>
      <x:c r="D10" s="9" t="n">
        <x:v>-0.012</x:v>
      </x:c>
      <x:c r="E10" s="1"/>
      <x:c r="F10" s="19"/>
      <x:c r="G10" s="19"/>
      <x:c r="H10" s="19"/>
      <x:c r="I10" s="19"/>
      <x:c r="J10" s="1"/>
      <x:c r="K10" s="1"/>
      <x:c r="L10" s="1"/>
    </x:row>
    <x:row r="11" ht="15" hidden="0" customHeight="1">
      <x:c r="A11" s="1"/>
      <x:c r="B11" s="1"/>
      <x:c r="C11" s="1" t="str">
        <x:v>Upside</x:v>
      </x:c>
      <x:c r="D11" s="9" t="n">
        <x:v>0.027</x:v>
      </x:c>
      <x:c r="E11" s="1"/>
      <x:c r="F11"/>
      <x:c r="G11"/>
      <x:c r="H11"/>
      <x:c r="I11"/>
      <x:c r="J11" s="1"/>
      <x:c r="K11" s="1"/>
      <x:c r="L11" s="1"/>
    </x:row>
    <x:row r="12" ht="26.399999618530273" hidden="0" customHeight="1">
      <x:c r="A12" s="1"/>
      <x:c r="B12" s="1"/>
      <x:c r="C12" s="1"/>
      <x:c r="D12" s="1"/>
      <x:c r="E12" s="1"/>
      <x:c r="F12"/>
      <x:c r="G12"/>
      <x:c r="H12"/>
      <x:c r="I12"/>
      <x:c r="J12" s="1"/>
      <x:c r="K12" s="1"/>
      <x:c r="L12" s="1"/>
    </x:row>
    <x:row r="13" ht="26.399999618530273" hidden="0" customHeight="1">
      <x:c r="A13" s="1"/>
      <x:c r="B13" s="1"/>
      <x:c r="C13" s="10" t="str">
        <x:v>Monthly price growth (active)</x:v>
      </x:c>
      <x:c r="D13" s="11" t="n">
        <x:f>IF(ISNUMBER(CHOOSE($D$5,D14,D15,D16)),CHOOSE($D$5,D14,D15,D16),NA())</x:f>
        <x:v>0.018</x:v>
      </x:c>
      <x:c r="E13" s="1"/>
      <x:c r="F13"/>
      <x:c r="G13"/>
      <x:c r="H13"/>
      <x:c r="I13"/>
      <x:c r="J13" s="1"/>
      <x:c r="K13" s="1"/>
      <x:c r="L13" s="1"/>
    </x:row>
    <x:row r="14" ht="26.399999618530273" hidden="0" customHeight="1">
      <x:c r="A14" s="1"/>
      <x:c r="B14" s="1"/>
      <x:c r="C14" s="1" t="str">
        <x:v>Base</x:v>
      </x:c>
      <x:c r="D14" s="9" t="n">
        <x:v>0.018</x:v>
      </x:c>
      <x:c r="E14" s="1"/>
      <x:c r="F14"/>
      <x:c r="G14"/>
      <x:c r="H14"/>
      <x:c r="I14"/>
      <x:c r="J14" s="1"/>
      <x:c r="K14" s="1"/>
      <x:c r="L14" s="1"/>
    </x:row>
    <x:row r="15" ht="39.599998474121094" hidden="0" customHeight="1">
      <x:c r="A15" s="1"/>
      <x:c r="B15" s="1"/>
      <x:c r="C15" s="1" t="str">
        <x:v>Downside</x:v>
      </x:c>
      <x:c r="D15" s="9" t="n">
        <x:v>0</x:v>
      </x:c>
      <x:c r="E15" s="1"/>
      <x:c r="F15"/>
      <x:c r="G15"/>
      <x:c r="H15"/>
      <x:c r="I15"/>
      <x:c r="J15" s="1"/>
      <x:c r="K15" s="1"/>
      <x:c r="L15" s="1"/>
    </x:row>
    <x:row r="16" ht="22" customHeight="1">
      <x:c r="A16" s="1"/>
      <x:c r="B16" s="1"/>
      <x:c r="C16" s="1" t="str">
        <x:v>Upside</x:v>
      </x:c>
      <x:c r="D16" s="9" t="n">
        <x:v>0.025</x:v>
      </x:c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0" t="str">
        <x:v>Monthly unit cost inflation (active)</x:v>
      </x:c>
      <x:c r="D18" s="11" t="n">
        <x:f>IF(ISNUMBER(CHOOSE($D$5,D19,D20,D21)),CHOOSE($D$5,D19,D20,D21),NA())</x:f>
        <x:v>0.025</x:v>
      </x:c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 t="str">
        <x:v>Base</x:v>
      </x:c>
      <x:c r="D19" s="9" t="n">
        <x:v>0.025</x:v>
      </x:c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 t="str">
        <x:v>Downside</x:v>
      </x:c>
      <x:c r="D20" s="9" t="n">
        <x:v>0.035</x:v>
      </x:c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 t="str">
        <x:v>Upside</x:v>
      </x:c>
      <x:c r="D21" s="9" t="n">
        <x:v>0.02</x:v>
      </x:c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0" t="str">
        <x:v>Monthly operating expense growth (active)</x:v>
      </x:c>
      <x:c r="D23" s="11" t="n">
        <x:f>IF(ISNUMBER(CHOOSE($D$5,D24,D25,D26)),CHOOSE($D$5,D24,D25,D26),NA())</x:f>
        <x:v>0.02</x:v>
      </x:c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 t="str">
        <x:v>Base</x:v>
      </x:c>
      <x:c r="D24" s="9" t="n">
        <x:v>0.02</x:v>
      </x:c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 t="str">
        <x:v>Downside</x:v>
      </x:c>
      <x:c r="D25" s="9" t="n">
        <x:v>0.025</x:v>
      </x:c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 t="str">
        <x:v>Upside</x:v>
      </x:c>
      <x:c r="D26" s="9" t="n">
        <x:v>0.018</x:v>
      </x:c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5" t="str">
        <x:v>Expanded schedules use explicit collection lags, debt and asset balances.</x:v>
      </x:c>
      <x:c r="D31" s="5"/>
      <x:c r="E31" s="5"/>
      <x:c r="F31" s="5"/>
      <x:c r="G31" s="5"/>
      <x:c r="H31" s="5"/>
      <x:c r="I31" s="5"/>
      <x:c r="J31" s="5"/>
      <x:c r="K31" s="5"/>
      <x:c r="L31" s="1"/>
    </x:row>
    <x:row r="32" ht="22" customHeight="1">
      <x:c r="A32" s="1"/>
      <x:c r="B32" s="1"/>
      <x:c r="C32" s="5"/>
      <x:c r="D32" s="5"/>
      <x:c r="E32" s="5"/>
      <x:c r="F32" s="5"/>
      <x:c r="G32" s="5"/>
      <x:c r="H32" s="5"/>
      <x:c r="I32" s="5"/>
      <x:c r="J32" s="5"/>
      <x:c r="K32" s="5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6.399999618530273" hidden="0" customHeight="1">
      <x:c r="A40" s="1"/>
      <x:c r="B40" s="1"/>
      <x:c r="C40" s="1"/>
      <x:c r="D40" s="1"/>
      <x:c r="E40" s="1"/>
      <x:c r="F40" s="14" t="str">
        <x:v>Expanded driver</x:v>
      </x:c>
      <x:c r="G40" s="14" t="str">
        <x:v>Value</x:v>
      </x:c>
      <x:c r="H40" s="14" t="str">
        <x:v>Synthetic opening / policy assumption</x:v>
      </x:c>
      <x:c r="I40" s="46" t="str">
        <x:v>Validated value</x:v>
      </x:c>
      <x:c r="J40" s="1"/>
      <x:c r="K40" s="1"/>
      <x:c r="L40" s="1"/>
    </x:row>
    <x:row r="41" ht="15" hidden="0" customHeight="1">
      <x:c r="A41" s="1"/>
      <x:c r="B41" s="1"/>
      <x:c r="C41" s="1"/>
      <x:c r="D41" s="1"/>
      <x:c r="E41" s="1"/>
      <x:c r="F41" s="5" t="str">
        <x:v>Opening AR</x:v>
      </x:c>
      <x:c r="G41" s="34" t="n">
        <x:v>1020000</x:v>
      </x:c>
      <x:c r="H41" s="5" t="str">
        <x:v>Outstanding credit sales</x:v>
      </x:c>
      <x:c r="I41" s="28" t="n">
        <x:f>IF(AND(ISNUMBER(G41),G41&gt;=0),G41,NA())</x:f>
        <x:v>1020000</x:v>
      </x:c>
      <x:c r="J41" s="1"/>
      <x:c r="K41" s="1"/>
      <x:c r="L41" s="1"/>
    </x:row>
    <x:row r="42" ht="26.399999618530273" hidden="0" customHeight="1">
      <x:c r="A42" s="1"/>
      <x:c r="B42" s="1"/>
      <x:c r="C42" s="1"/>
      <x:c r="D42" s="1"/>
      <x:c r="E42" s="1"/>
      <x:c r="F42" s="5" t="str">
        <x:v>Opening AR collected in July</x:v>
      </x:c>
      <x:c r="G42" s="34" t="n">
        <x:v>550000</x:v>
      </x:c>
      <x:c r="H42" s="5" t="str">
        <x:v>Remaining balance collected August</x:v>
      </x:c>
      <x:c r="I42" s="28" t="n">
        <x:f>IF(AND(ISNUMBER(G42),G42&gt;=0,ISNUMBER(G41),G42&lt;=G41),G42,NA())</x:f>
        <x:v>550000</x:v>
      </x:c>
      <x:c r="J42" s="1"/>
      <x:c r="K42" s="1"/>
      <x:c r="L42" s="1"/>
    </x:row>
    <x:row r="43" ht="26.399999618530273" hidden="0" customHeight="1">
      <x:c r="A43" s="1"/>
      <x:c r="B43" s="1"/>
      <x:c r="C43" s="1"/>
      <x:c r="D43" s="1"/>
      <x:c r="E43" s="1"/>
      <x:c r="F43" s="5" t="str">
        <x:v>Current-month collection fraction</x:v>
      </x:c>
      <x:c r="G43" s="37" t="n">
        <x:v>0.25</x:v>
      </x:c>
      <x:c r="H43" s="5" t="str">
        <x:v>Credit sales</x:v>
      </x:c>
      <x:c r="I43" s="8" t="n">
        <x:f>IF(AND(ISNUMBER(G43),G43&gt;=0,G43&lt;=1,ISNUMBER(G43),ISNUMBER(G44),G43+G44&lt;=1),G43,NA())</x:f>
        <x:v>0.25</x:v>
      </x:c>
      <x:c r="J43" s="1"/>
      <x:c r="K43" s="1"/>
      <x:c r="L43" s="1"/>
    </x:row>
    <x:row r="44" ht="26.399999618530273" hidden="0" customHeight="1">
      <x:c r="A44" s="1"/>
      <x:c r="B44" s="1"/>
      <x:c r="C44" s="1"/>
      <x:c r="D44" s="1"/>
      <x:c r="E44" s="1"/>
      <x:c r="F44" s="5" t="str">
        <x:v>Next-month collection fraction</x:v>
      </x:c>
      <x:c r="G44" s="37" t="n">
        <x:v>0.65</x:v>
      </x:c>
      <x:c r="H44" s="5" t="str">
        <x:v>Credit sales; remainder month two</x:v>
      </x:c>
      <x:c r="I44" s="8" t="n">
        <x:f>IF(AND(ISNUMBER(G44),G44&gt;=0,G44&lt;=1,ISNUMBER(G43),ISNUMBER(G44),G43+G44&lt;=1),G44,NA())</x:f>
        <x:v>0.65</x:v>
      </x:c>
      <x:c r="J44" s="1"/>
      <x:c r="K44" s="1"/>
      <x:c r="L44" s="1"/>
    </x:row>
    <x:row r="45" ht="15" hidden="0" customHeight="1">
      <x:c r="A45" s="1"/>
      <x:c r="B45" s="1"/>
      <x:c r="C45" s="1"/>
      <x:c r="D45" s="1"/>
      <x:c r="E45" s="1"/>
      <x:c r="F45" s="5" t="str">
        <x:v>Opening AP</x:v>
      </x:c>
      <x:c r="G45" s="34" t="n">
        <x:v>300000</x:v>
      </x:c>
      <x:c r="H45" s="5" t="str">
        <x:v>Paid July</x:v>
      </x:c>
      <x:c r="I45" s="28" t="n">
        <x:f>IF(AND(ISNUMBER(G45),G45&gt;=0),G45,NA())</x:f>
        <x:v>300000</x:v>
      </x:c>
      <x:c r="J45" s="1"/>
      <x:c r="K45" s="1"/>
      <x:c r="L45" s="1"/>
    </x:row>
    <x:row r="46" ht="26.399999618530273" hidden="0" customHeight="1">
      <x:c r="A46" s="1"/>
      <x:c r="B46" s="1"/>
      <x:c r="C46" s="1"/>
      <x:c r="D46" s="1"/>
      <x:c r="E46" s="1"/>
      <x:c r="F46" s="5" t="str">
        <x:v>Current-month supplier payment fraction</x:v>
      </x:c>
      <x:c r="G46" s="37" t="n">
        <x:v>0.5</x:v>
      </x:c>
      <x:c r="H46" s="5" t="str">
        <x:v>Variable costs; remainder next month</x:v>
      </x:c>
      <x:c r="I46" s="8" t="n">
        <x:f>IF(AND(ISNUMBER(G46),G46&gt;=0,G46&lt;=1),G46,NA())</x:f>
        <x:v>0.5</x:v>
      </x:c>
      <x:c r="J46" s="1"/>
      <x:c r="K46" s="1"/>
      <x:c r="L46" s="1"/>
    </x:row>
    <x:row r="47" ht="15" hidden="0" customHeight="1">
      <x:c r="A47" s="1"/>
      <x:c r="B47" s="1"/>
      <x:c r="C47" s="1"/>
      <x:c r="D47" s="1"/>
      <x:c r="E47" s="1"/>
      <x:c r="F47" s="5" t="str">
        <x:v>Opening gross PP&amp;E</x:v>
      </x:c>
      <x:c r="G47" s="34" t="n">
        <x:v>1200000</x:v>
      </x:c>
      <x:c r="H47" s="5" t="str">
        <x:v>June 30</x:v>
      </x:c>
      <x:c r="I47" s="28" t="n">
        <x:f>IF(AND(ISNUMBER(G47),G47&gt;=0),G47,NA())</x:f>
        <x:v>1200000</x:v>
      </x:c>
      <x:c r="J47" s="1"/>
      <x:c r="K47" s="1"/>
      <x:c r="L47" s="1"/>
    </x:row>
    <x:row r="48" ht="26.399999618530273" hidden="0" customHeight="1">
      <x:c r="A48" s="1"/>
      <x:c r="B48" s="1"/>
      <x:c r="C48" s="1"/>
      <x:c r="D48" s="1"/>
      <x:c r="E48" s="1"/>
      <x:c r="F48" s="5" t="str">
        <x:v>Opening accumulated depreciation</x:v>
      </x:c>
      <x:c r="G48" s="34" t="n">
        <x:v>480000</x:v>
      </x:c>
      <x:c r="H48" s="5" t="str">
        <x:v>June 30</x:v>
      </x:c>
      <x:c r="I48" s="28" t="n">
        <x:f>IF(AND(ISNUMBER(G48),G48&gt;=0,ISNUMBER(G47),G48&lt;=G47),G48,NA())</x:f>
        <x:v>480000</x:v>
      </x:c>
      <x:c r="J48" s="1"/>
      <x:c r="K48" s="1"/>
      <x:c r="L48" s="1"/>
    </x:row>
    <x:row r="49" ht="26.399999618530273" hidden="0" customHeight="1">
      <x:c r="A49" s="1"/>
      <x:c r="B49" s="1"/>
      <x:c r="C49" s="1"/>
      <x:c r="D49" s="1"/>
      <x:c r="E49" s="1"/>
      <x:c r="F49" s="5" t="str">
        <x:v>New asset useful life (months)</x:v>
      </x:c>
      <x:c r="G49" s="41" t="n">
        <x:v>60</x:v>
      </x:c>
      <x:c r="H49" s="5" t="str">
        <x:v>Month-end additions depreciate next month</x:v>
      </x:c>
      <x:c r="I49" s="47" t="n">
        <x:f>IF(AND(ISNUMBER(G49),G49&gt;=0,MOD(G49,1)=0,G49&gt;0),G49,NA())</x:f>
        <x:v>60</x:v>
      </x:c>
      <x:c r="J49" s="1"/>
      <x:c r="K49" s="1"/>
      <x:c r="L49" s="1"/>
    </x:row>
    <x:row r="50" ht="15" hidden="0" customHeight="1">
      <x:c r="A50" s="1"/>
      <x:c r="B50" s="1"/>
      <x:c r="C50" s="1"/>
      <x:c r="D50" s="1"/>
      <x:c r="E50" s="1"/>
      <x:c r="F50" s="5" t="str">
        <x:v>Opening debt</x:v>
      </x:c>
      <x:c r="G50" s="34" t="n">
        <x:v>600000</x:v>
      </x:c>
      <x:c r="H50" s="5" t="str">
        <x:v>June 30</x:v>
      </x:c>
      <x:c r="I50" s="28" t="n">
        <x:f>IF(AND(ISNUMBER(G50),G50&gt;=0),G50,NA())</x:f>
        <x:v>600000</x:v>
      </x:c>
      <x:c r="J50" s="1"/>
      <x:c r="K50" s="1"/>
      <x:c r="L50" s="1"/>
    </x:row>
    <x:row r="51" ht="26.399999618530273" hidden="0" customHeight="1">
      <x:c r="A51" s="1"/>
      <x:c r="B51" s="1"/>
      <x:c r="C51" s="1"/>
      <x:c r="D51" s="1"/>
      <x:c r="E51" s="1"/>
      <x:c r="F51" s="5" t="str">
        <x:v>Annual debt interest</x:v>
      </x:c>
      <x:c r="G51" s="37" t="n">
        <x:v>0.08</x:v>
      </x:c>
      <x:c r="H51" s="5" t="str">
        <x:v>Opening monthly principal basis</x:v>
      </x:c>
      <x:c r="I51" s="8" t="n">
        <x:f>IF(AND(ISNUMBER(G51),G51&gt;=0,G51&lt;=1),G51,NA())</x:f>
        <x:v>0.08</x:v>
      </x:c>
      <x:c r="J51" s="1"/>
      <x:c r="K51" s="1"/>
      <x:c r="L51" s="1"/>
    </x:row>
    <x:row r="52" ht="15" hidden="0" customHeight="1">
      <x:c r="A52" s="1"/>
      <x:c r="B52" s="1"/>
      <x:c r="C52" s="1"/>
      <x:c r="D52" s="1"/>
      <x:c r="E52" s="1"/>
      <x:c r="F52" s="5" t="str">
        <x:v>Monthly principal repayment</x:v>
      </x:c>
      <x:c r="G52" s="34" t="n">
        <x:v>10000</x:v>
      </x:c>
      <x:c r="H52" s="5" t="str">
        <x:v>No new borrowing</x:v>
      </x:c>
      <x:c r="I52" s="28" t="n">
        <x:f>IF(AND(ISNUMBER(G52),G52&gt;=0),G52,NA())</x:f>
        <x:v>10000</x:v>
      </x:c>
      <x:c r="J52" s="1"/>
      <x:c r="K52" s="1"/>
      <x:c r="L52" s="1"/>
    </x:row>
    <x:row r="53" ht="15" hidden="0" customHeight="1">
      <x:c r="A53" s="1"/>
      <x:c r="B53" s="1"/>
      <x:c r="C53" s="1"/>
      <x:c r="D53" s="1"/>
      <x:c r="E53" s="1"/>
      <x:c r="F53" s="5" t="str">
        <x:v>Share capital</x:v>
      </x:c>
      <x:c r="G53" s="34" t="n">
        <x:v>500000</x:v>
      </x:c>
      <x:c r="H53" s="5" t="str">
        <x:v>No issuance or dividends</x:v>
      </x:c>
      <x:c r="I53" s="28" t="n">
        <x:f>IF(AND(ISNUMBER(G53),G53&gt;=0),G53,NA())</x:f>
        <x:v>500000</x:v>
      </x:c>
      <x:c r="J53" s="1"/>
      <x:c r="K53" s="1"/>
      <x:c r="L53" s="1"/>
    </x:row>
    <x:row r="54" ht="26.399999618530273" hidden="0" customHeight="1">
      <x:c r="A54" s="1"/>
      <x:c r="B54" s="1"/>
      <x:c r="C54" s="1"/>
      <x:c r="D54" s="1"/>
      <x:c r="E54" s="1"/>
      <x:c r="F54" s="5" t="str">
        <x:v>Opening tax losses</x:v>
      </x:c>
      <x:c r="G54" s="34" t="n">
        <x:v>0</x:v>
      </x:c>
      <x:c r="H54" s="5" t="str">
        <x:v>Forecast-only simplified tax-loss pool</x:v>
      </x:c>
      <x:c r="I54" s="28" t="n">
        <x:f>IF(AND(ISNUMBER(G54),G54&gt;=0),G54,NA())</x:f>
        <x:v>0</x:v>
      </x:c>
      <x:c r="J54" s="1"/>
      <x:c r="K54" s="1"/>
      <x:c r="L54" s="1"/>
    </x:row>
    <x:row r="55" ht="26.399999618530273" hidden="0" customHeight="1">
      <x:c r="A55" s="1"/>
      <x:c r="B55" s="1"/>
      <x:c r="C55" s="1"/>
      <x:c r="D55" s="1"/>
      <x:c r="E55" s="1"/>
      <x:c r="F55" s="5" t="str">
        <x:v>Tax rate</x:v>
      </x:c>
      <x:c r="G55" s="37" t="n">
        <x:v>0.25</x:v>
      </x:c>
      <x:c r="H55" s="5" t="str">
        <x:v>Positive income after loss offset</x:v>
      </x:c>
      <x:c r="I55" s="8" t="n">
        <x:f>IF(AND(ISNUMBER(G55),G55&gt;=0,G55&lt;=1),G55,NA())</x:f>
        <x:v>0.25</x:v>
      </x:c>
      <x:c r="J55" s="1"/>
      <x:c r="K55" s="1"/>
      <x:c r="L55" s="1"/>
    </x:row>
    <x:row r="56" ht="15" hidden="0" customHeight="1">
      <x:c r="A56" s="1"/>
      <x:c r="B56" s="1"/>
      <x:c r="C56" s="1"/>
      <x:c r="D56" s="1"/>
      <x:c r="E56" s="1"/>
      <x:c r="F56" s="5" t="str">
        <x:v>Opening cash</x:v>
      </x:c>
      <x:c r="G56" s="34" t="n">
        <x:v>500000</x:v>
      </x:c>
      <x:c r="H56" s="5" t="str">
        <x:v>June 30 bank assumption</x:v>
      </x:c>
      <x:c r="I56" s="28" t="n">
        <x:f>IF(AND(ISNUMBER(G56),G56&gt;=0),G56,NA())</x:f>
        <x:v>500000</x:v>
      </x:c>
      <x:c r="J56" s="1"/>
      <x:c r="K56" s="1"/>
      <x:c r="L56" s="1"/>
    </x:row>
    <x:row r="57" ht="15" hidden="0" customHeight="1">
      <x:c r="A57" s="1"/>
      <x:c r="B57" s="1"/>
      <x:c r="C57" s="1"/>
      <x:c r="D57" s="1"/>
      <x:c r="E57" s="1"/>
      <x:c r="F57" s="5" t="str">
        <x:v>Monthly capex</x:v>
      </x:c>
      <x:c r="G57" s="34" t="n">
        <x:v>25000</x:v>
      </x:c>
      <x:c r="H57" s="5" t="str">
        <x:v>Paid at month-end</x:v>
      </x:c>
      <x:c r="I57" s="28" t="n">
        <x:f>IF(AND(ISNUMBER(G57),G57&gt;=0),G57,NA())</x:f>
        <x:v>25000</x:v>
      </x:c>
      <x:c r="J57" s="1"/>
      <x:c r="K57" s="1"/>
      <x:c r="L57" s="1"/>
    </x:row>
    <x:row r="58" ht="26.399999618530273" hidden="0" customHeight="1">
      <x:c r="A58" s="1"/>
      <x:c r="B58" s="1"/>
      <x:c r="C58" s="1"/>
      <x:c r="D58" s="1"/>
      <x:c r="E58" s="1"/>
      <x:c r="F58" s="5" t="str">
        <x:v>Existing monthly depreciation</x:v>
      </x:c>
      <x:c r="G58" s="34" t="n">
        <x:v>20000</x:v>
      </x:c>
      <x:c r="H58" s="5" t="str">
        <x:v>Remaining old asset basis capped</x:v>
      </x:c>
      <x:c r="I58" s="28" t="n">
        <x:f>IF(AND(ISNUMBER(G58),G58&gt;=0),G58,NA())</x:f>
        <x:v>20000</x:v>
      </x:c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F5:K6"/>
    <x:mergeCell ref="C31:K32"/>
    <x:mergeCell ref="F8:I10"/>
  </x:mergeCells>
  <x:dataValidations count="1">
    <x:dataValidation type="list" sqref="D5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1"/>
      <x:c r="B2" s="1"/>
      <x:c r="C2" s="2" t="str">
        <x:v>Segment operating build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15" hidden="0" customHeight="1">
      <x:c r="A6" s="1"/>
      <x:c r="B6" s="1"/>
      <x:c r="C6" s="14" t="str">
        <x:v>Month</x:v>
      </x:c>
      <x:c r="D6" s="14" t="str">
        <x:v>Segment</x:v>
      </x:c>
      <x:c r="E6" s="14" t="str">
        <x:v>Units</x:v>
      </x:c>
      <x:c r="F6" s="14" t="str">
        <x:v>Price / unit</x:v>
      </x:c>
      <x:c r="G6" s="14" t="str">
        <x:v>Variable cost / unit</x:v>
      </x:c>
      <x:c r="H6" s="14" t="str">
        <x:v>Fixed</x:v>
      </x:c>
      <x:c r="I6" s="14" t="str">
        <x:v>Opex</x:v>
      </x:c>
      <x:c r="J6" s="14" t="str">
        <x:v>Revenue</x:v>
      </x:c>
      <x:c r="K6" s="14" t="str">
        <x:v>Variable cost</x:v>
      </x:c>
      <x:c r="L6" s="14" t="str">
        <x:v>EBITDA</x:v>
      </x:c>
      <x:c r="M6" s="14" t="str">
        <x:v>Seasonality</x:v>
      </x:c>
      <x:c r="N6" s="14" t="str">
        <x:v>Original fixed</x:v>
      </x:c>
    </x:row>
    <x:row r="7" ht="22" customHeight="1">
      <x:c r="A7" s="1"/>
      <x:c r="B7" s="1"/>
      <x:c r="C7" s="20" t="d">
        <x:v>2026-01-01T00:00:00.000Z</x:v>
      </x:c>
      <x:c r="D7" s="1" t="str">
        <x:v>Core</x:v>
      </x:c>
      <x:c r="E7" s="25" t="n">
        <x:f>'Source'!E7</x:f>
        <x:v>832</x:v>
      </x:c>
      <x:c r="F7" s="26" t="n">
        <x:f>'Source'!F7</x:f>
        <x:v>410.62</x:v>
      </x:c>
      <x:c r="G7" s="26" t="n">
        <x:f>'Source'!G7</x:f>
        <x:v>248.5</x:v>
      </x:c>
      <x:c r="H7" s="27" t="n">
        <x:f>'Source'!H7</x:f>
        <x:v>89089</x:v>
      </x:c>
      <x:c r="I7" s="27" t="n">
        <x:f>'Source'!I7</x:f>
        <x:v>61122</x:v>
      </x:c>
      <x:c r="J7" s="28" t="n">
        <x:f>E7*F7</x:f>
        <x:v>341635.84</x:v>
      </x:c>
      <x:c r="K7" s="28" t="n">
        <x:f>E7*G7</x:f>
        <x:v>206752</x:v>
      </x:c>
      <x:c r="L7" s="28" t="n">
        <x:f>J7-SUM(K7,H7:I7)</x:f>
        <x:v>-15327.159999999974</x:v>
      </x:c>
      <x:c r="M7" s="44" t="n">
        <x:v>0.94</x:v>
      </x:c>
      <x:c r="N7" s="24" t="n">
        <x:v>89000</x:v>
      </x:c>
    </x:row>
    <x:row r="8" ht="22" customHeight="1">
      <x:c r="A8" s="1"/>
      <x:c r="B8" s="1"/>
      <x:c r="C8" s="20" t="d">
        <x:v>2026-01-01T00:00:00.000Z</x:v>
      </x:c>
      <x:c r="D8" s="1" t="str">
        <x:v>Enterprise</x:v>
      </x:c>
      <x:c r="E8" s="25" t="n">
        <x:f>'Source'!E8</x:f>
        <x:v>275</x:v>
      </x:c>
      <x:c r="F8" s="26" t="n">
        <x:f>'Source'!F8</x:f>
        <x:v>1121.68</x:v>
      </x:c>
      <x:c r="G8" s="26" t="n">
        <x:f>'Source'!G8</x:f>
        <x:v>606.21</x:v>
      </x:c>
      <x:c r="H8" s="27" t="n">
        <x:f>'Source'!H8</x:f>
        <x:v>76076</x:v>
      </x:c>
      <x:c r="I8" s="27" t="n">
        <x:f>'Source'!I8</x:f>
        <x:v>82164</x:v>
      </x:c>
      <x:c r="J8" s="28" t="n">
        <x:f>E8*F8</x:f>
        <x:v>308462</x:v>
      </x:c>
      <x:c r="K8" s="28" t="n">
        <x:f>E8*G8</x:f>
        <x:v>166707.75</x:v>
      </x:c>
      <x:c r="L8" s="28" t="n">
        <x:f>J8-SUM(K8,H8:I8)</x:f>
        <x:v>-16485.75</x:v>
      </x:c>
      <x:c r="M8" s="44" t="n">
        <x:v>0.94</x:v>
      </x:c>
      <x:c r="N8" s="24" t="n">
        <x:v>76000</x:v>
      </x:c>
    </x:row>
    <x:row r="9" ht="22" customHeight="1">
      <x:c r="A9" s="1"/>
      <x:c r="B9" s="1"/>
      <x:c r="C9" s="20" t="d">
        <x:v>2026-01-01T00:00:00.000Z</x:v>
      </x:c>
      <x:c r="D9" s="1" t="str">
        <x:v>Services</x:v>
      </x:c>
      <x:c r="E9" s="25" t="n">
        <x:f>'Source'!E9</x:f>
        <x:v>496</x:v>
      </x:c>
      <x:c r="F9" s="26" t="n">
        <x:f>'Source'!F9</x:f>
        <x:v>285.43</x:v>
      </x:c>
      <x:c r="G9" s="26" t="n">
        <x:f>'Source'!G9</x:f>
        <x:v>108.22</x:v>
      </x:c>
      <x:c r="H9" s="27" t="n">
        <x:f>'Source'!H9</x:f>
        <x:v>42042</x:v>
      </x:c>
      <x:c r="I9" s="27" t="n">
        <x:f>'Source'!I9</x:f>
        <x:v>51102</x:v>
      </x:c>
      <x:c r="J9" s="28" t="n">
        <x:f>E9*F9</x:f>
        <x:v>141573.28</x:v>
      </x:c>
      <x:c r="K9" s="28" t="n">
        <x:f>E9*G9</x:f>
        <x:v>53677.12</x:v>
      </x:c>
      <x:c r="L9" s="28" t="n">
        <x:f>J9-SUM(K9,H9:I9)</x:f>
        <x:v>-5247.8399999999965</x:v>
      </x:c>
      <x:c r="M9" s="44" t="n">
        <x:v>0.94</x:v>
      </x:c>
      <x:c r="N9" s="24" t="n">
        <x:v>42000</x:v>
      </x:c>
    </x:row>
    <x:row r="10" ht="22" customHeight="1">
      <x:c r="A10" s="1"/>
      <x:c r="B10" s="1"/>
      <x:c r="C10" s="20" t="d">
        <x:v>2026-02-01T00:00:00.000Z</x:v>
      </x:c>
      <x:c r="D10" s="1" t="str">
        <x:v>Core</x:v>
      </x:c>
      <x:c r="E10" s="25" t="n">
        <x:f>'Source'!E10</x:f>
        <x:v>819</x:v>
      </x:c>
      <x:c r="F10" s="26" t="n">
        <x:f>'Source'!F10</x:f>
        <x:v>411.23</x:v>
      </x:c>
      <x:c r="G10" s="26" t="n">
        <x:f>'Source'!G10</x:f>
        <x:v>248.99</x:v>
      </x:c>
      <x:c r="H10" s="27" t="n">
        <x:f>'Source'!H10</x:f>
        <x:v>89178</x:v>
      </x:c>
      <x:c r="I10" s="27" t="n">
        <x:f>'Source'!I10</x:f>
        <x:v>61244</x:v>
      </x:c>
      <x:c r="J10" s="28" t="n">
        <x:f>E10*F10</x:f>
        <x:v>336797.37</x:v>
      </x:c>
      <x:c r="K10" s="28" t="n">
        <x:f>E10*G10</x:f>
        <x:v>203922.81</x:v>
      </x:c>
      <x:c r="L10" s="28" t="n">
        <x:f>J10-SUM(K10,H10:I10)</x:f>
        <x:v>-17547.440000000002</x:v>
      </x:c>
      <x:c r="M10" s="44" t="n">
        <x:v>0.92</x:v>
      </x:c>
      <x:c r="N10" s="24" t="n">
        <x:v>89000</x:v>
      </x:c>
    </x:row>
    <x:row r="11" ht="22" customHeight="1">
      <x:c r="A11" s="1"/>
      <x:c r="B11" s="1"/>
      <x:c r="C11" s="20" t="d">
        <x:v>2026-02-01T00:00:00.000Z</x:v>
      </x:c>
      <x:c r="D11" s="1" t="str">
        <x:v>Enterprise</x:v>
      </x:c>
      <x:c r="E11" s="25" t="n">
        <x:f>'Source'!E11</x:f>
        <x:v>271</x:v>
      </x:c>
      <x:c r="F11" s="26" t="n">
        <x:f>'Source'!F11</x:f>
        <x:v>1123.36</x:v>
      </x:c>
      <x:c r="G11" s="26" t="n">
        <x:f>'Source'!G11</x:f>
        <x:v>607.42</x:v>
      </x:c>
      <x:c r="H11" s="27" t="n">
        <x:f>'Source'!H11</x:f>
        <x:v>76152</x:v>
      </x:c>
      <x:c r="I11" s="27" t="n">
        <x:f>'Source'!I11</x:f>
        <x:v>82328</x:v>
      </x:c>
      <x:c r="J11" s="28" t="n">
        <x:f>E11*F11</x:f>
        <x:v>304430.56</x:v>
      </x:c>
      <x:c r="K11" s="28" t="n">
        <x:f>E11*G11</x:f>
        <x:v>164610.81999999998</x:v>
      </x:c>
      <x:c r="L11" s="28" t="n">
        <x:f>J11-SUM(K11,H11:I11)</x:f>
        <x:v>-18660.25999999995</x:v>
      </x:c>
      <x:c r="M11" s="44" t="n">
        <x:v>0.92</x:v>
      </x:c>
      <x:c r="N11" s="24" t="n">
        <x:v>76000</x:v>
      </x:c>
    </x:row>
    <x:row r="12" ht="22" customHeight="1">
      <x:c r="A12" s="1"/>
      <x:c r="B12" s="1"/>
      <x:c r="C12" s="20" t="d">
        <x:v>2026-02-01T00:00:00.000Z</x:v>
      </x:c>
      <x:c r="D12" s="1" t="str">
        <x:v>Services</x:v>
      </x:c>
      <x:c r="E12" s="25" t="n">
        <x:f>'Source'!E12</x:f>
        <x:v>488</x:v>
      </x:c>
      <x:c r="F12" s="26" t="n">
        <x:f>'Source'!F12</x:f>
        <x:v>285.85</x:v>
      </x:c>
      <x:c r="G12" s="26" t="n">
        <x:f>'Source'!G12</x:f>
        <x:v>108.43</x:v>
      </x:c>
      <x:c r="H12" s="27" t="n">
        <x:f>'Source'!H12</x:f>
        <x:v>42084</x:v>
      </x:c>
      <x:c r="I12" s="27" t="n">
        <x:f>'Source'!I12</x:f>
        <x:v>51204</x:v>
      </x:c>
      <x:c r="J12" s="28" t="n">
        <x:f>E12*F12</x:f>
        <x:v>139494.80000000002</x:v>
      </x:c>
      <x:c r="K12" s="28" t="n">
        <x:f>E12*G12</x:f>
        <x:v>52913.840000000004</x:v>
      </x:c>
      <x:c r="L12" s="28" t="n">
        <x:f>J12-SUM(K12,H12:I12)</x:f>
        <x:v>-6707.039999999979</x:v>
      </x:c>
      <x:c r="M12" s="44" t="n">
        <x:v>0.92</x:v>
      </x:c>
      <x:c r="N12" s="24" t="n">
        <x:v>42000</x:v>
      </x:c>
    </x:row>
    <x:row r="13" ht="22" customHeight="1">
      <x:c r="A13" s="1"/>
      <x:c r="B13" s="1"/>
      <x:c r="C13" s="20" t="d">
        <x:v>2026-03-01T00:00:00.000Z</x:v>
      </x:c>
      <x:c r="D13" s="1" t="str">
        <x:v>Core</x:v>
      </x:c>
      <x:c r="E13" s="25" t="n">
        <x:f>'Source'!E13</x:f>
        <x:v>896</x:v>
      </x:c>
      <x:c r="F13" s="26" t="n">
        <x:f>'Source'!F13</x:f>
        <x:v>411.84</x:v>
      </x:c>
      <x:c r="G13" s="26" t="n">
        <x:f>'Source'!G13</x:f>
        <x:v>249.49</x:v>
      </x:c>
      <x:c r="H13" s="27" t="n">
        <x:f>'Source'!H13</x:f>
        <x:v>89267</x:v>
      </x:c>
      <x:c r="I13" s="27" t="n">
        <x:f>'Source'!I13</x:f>
        <x:v>61366</x:v>
      </x:c>
      <x:c r="J13" s="28" t="n">
        <x:f>E13*F13</x:f>
        <x:v>369008.63999999996</x:v>
      </x:c>
      <x:c r="K13" s="28" t="n">
        <x:f>E13*G13</x:f>
        <x:v>223543.04</x:v>
      </x:c>
      <x:c r="L13" s="28" t="n">
        <x:f>J13-SUM(K13,H13:I13)</x:f>
        <x:v>-5167.4000000000815</x:v>
      </x:c>
      <x:c r="M13" s="44" t="n">
        <x:v>1</x:v>
      </x:c>
      <x:c r="N13" s="24" t="n">
        <x:v>89000</x:v>
      </x:c>
    </x:row>
    <x:row r="14" ht="22" customHeight="1">
      <x:c r="A14" s="1"/>
      <x:c r="B14" s="1"/>
      <x:c r="C14" s="20" t="d">
        <x:v>2026-03-01T00:00:00.000Z</x:v>
      </x:c>
      <x:c r="D14" s="1" t="str">
        <x:v>Enterprise</x:v>
      </x:c>
      <x:c r="E14" s="25" t="n">
        <x:f>'Source'!E14</x:f>
        <x:v>296</x:v>
      </x:c>
      <x:c r="F14" s="26" t="n">
        <x:f>'Source'!F14</x:f>
        <x:v>1125.04</x:v>
      </x:c>
      <x:c r="G14" s="26" t="n">
        <x:f>'Source'!G14</x:f>
        <x:v>608.63</x:v>
      </x:c>
      <x:c r="H14" s="27" t="n">
        <x:f>'Source'!H14</x:f>
        <x:v>76228</x:v>
      </x:c>
      <x:c r="I14" s="27" t="n">
        <x:f>'Source'!I14</x:f>
        <x:v>82492</x:v>
      </x:c>
      <x:c r="J14" s="28" t="n">
        <x:f>E14*F14</x:f>
        <x:v>333011.83999999997</x:v>
      </x:c>
      <x:c r="K14" s="28" t="n">
        <x:f>E14*G14</x:f>
        <x:v>180154.48</x:v>
      </x:c>
      <x:c r="L14" s="28" t="n">
        <x:f>J14-SUM(K14,H14:I14)</x:f>
        <x:v>-5862.640000000014</x:v>
      </x:c>
      <x:c r="M14" s="44" t="n">
        <x:v>1</x:v>
      </x:c>
      <x:c r="N14" s="24" t="n">
        <x:v>76000</x:v>
      </x:c>
    </x:row>
    <x:row r="15" ht="22" customHeight="1">
      <x:c r="A15" s="1"/>
      <x:c r="B15" s="1"/>
      <x:c r="C15" s="20" t="d">
        <x:v>2026-03-01T00:00:00.000Z</x:v>
      </x:c>
      <x:c r="D15" s="1" t="str">
        <x:v>Services</x:v>
      </x:c>
      <x:c r="E15" s="25" t="n">
        <x:f>'Source'!E15</x:f>
        <x:v>534</x:v>
      </x:c>
      <x:c r="F15" s="26" t="n">
        <x:f>'Source'!F15</x:f>
        <x:v>286.28</x:v>
      </x:c>
      <x:c r="G15" s="26" t="n">
        <x:f>'Source'!G15</x:f>
        <x:v>108.65</x:v>
      </x:c>
      <x:c r="H15" s="27" t="n">
        <x:f>'Source'!H15</x:f>
        <x:v>42126</x:v>
      </x:c>
      <x:c r="I15" s="27" t="n">
        <x:f>'Source'!I15</x:f>
        <x:v>51306</x:v>
      </x:c>
      <x:c r="J15" s="28" t="n">
        <x:f>E15*F15</x:f>
        <x:v>152873.52</x:v>
      </x:c>
      <x:c r="K15" s="28" t="n">
        <x:f>E15*G15</x:f>
        <x:v>58019.100000000006</x:v>
      </x:c>
      <x:c r="L15" s="28" t="n">
        <x:f>J15-SUM(K15,H15:I15)</x:f>
        <x:v>1422.4199999999837</x:v>
      </x:c>
      <x:c r="M15" s="44" t="n">
        <x:v>1</x:v>
      </x:c>
      <x:c r="N15" s="24" t="n">
        <x:v>42000</x:v>
      </x:c>
    </x:row>
    <x:row r="16" ht="22" customHeight="1">
      <x:c r="A16" s="1"/>
      <x:c r="B16" s="1"/>
      <x:c r="C16" s="20" t="d">
        <x:v>2026-04-01T00:00:00.000Z</x:v>
      </x:c>
      <x:c r="D16" s="1" t="str">
        <x:v>Core</x:v>
      </x:c>
      <x:c r="E16" s="25" t="n">
        <x:f>'Source'!E16</x:f>
        <x:v>883</x:v>
      </x:c>
      <x:c r="F16" s="26" t="n">
        <x:f>'Source'!F16</x:f>
        <x:v>412.46</x:v>
      </x:c>
      <x:c r="G16" s="26" t="n">
        <x:f>'Source'!G16</x:f>
        <x:v>249.98</x:v>
      </x:c>
      <x:c r="H16" s="27" t="n">
        <x:f>'Source'!H16</x:f>
        <x:v>89356</x:v>
      </x:c>
      <x:c r="I16" s="27" t="n">
        <x:f>'Source'!I16</x:f>
        <x:v>61488</x:v>
      </x:c>
      <x:c r="J16" s="28" t="n">
        <x:f>E16*F16</x:f>
        <x:v>364202.18</x:v>
      </x:c>
      <x:c r="K16" s="28" t="n">
        <x:f>E16*G16</x:f>
        <x:v>220732.34</x:v>
      </x:c>
      <x:c r="L16" s="28" t="n">
        <x:f>J16-SUM(K16,H16:I16)</x:f>
        <x:v>-7374.159999999974</x:v>
      </x:c>
      <x:c r="M16" s="44" t="n">
        <x:v>0.98</x:v>
      </x:c>
      <x:c r="N16" s="24" t="n">
        <x:v>89000</x:v>
      </x:c>
    </x:row>
    <x:row r="17" ht="22" customHeight="1">
      <x:c r="A17" s="1"/>
      <x:c r="B17" s="1"/>
      <x:c r="C17" s="20" t="d">
        <x:v>2026-04-01T00:00:00.000Z</x:v>
      </x:c>
      <x:c r="D17" s="1" t="str">
        <x:v>Enterprise</x:v>
      </x:c>
      <x:c r="E17" s="25" t="n">
        <x:f>'Source'!E17</x:f>
        <x:v>292</x:v>
      </x:c>
      <x:c r="F17" s="26" t="n">
        <x:f>'Source'!F17</x:f>
        <x:v>1126.72</x:v>
      </x:c>
      <x:c r="G17" s="26" t="n">
        <x:f>'Source'!G17</x:f>
        <x:v>609.84</x:v>
      </x:c>
      <x:c r="H17" s="27" t="n">
        <x:f>'Source'!H17</x:f>
        <x:v>76304</x:v>
      </x:c>
      <x:c r="I17" s="27" t="n">
        <x:f>'Source'!I17</x:f>
        <x:v>82656</x:v>
      </x:c>
      <x:c r="J17" s="28" t="n">
        <x:f>E17*F17</x:f>
        <x:v>329002.24</x:v>
      </x:c>
      <x:c r="K17" s="28" t="n">
        <x:f>E17*G17</x:f>
        <x:v>178073.28</x:v>
      </x:c>
      <x:c r="L17" s="28" t="n">
        <x:f>J17-SUM(K17,H17:I17)</x:f>
        <x:v>-8031.040000000037</x:v>
      </x:c>
      <x:c r="M17" s="44" t="n">
        <x:v>0.98</x:v>
      </x:c>
      <x:c r="N17" s="24" t="n">
        <x:v>76000</x:v>
      </x:c>
    </x:row>
    <x:row r="18" ht="22" customHeight="1">
      <x:c r="A18" s="1"/>
      <x:c r="B18" s="1"/>
      <x:c r="C18" s="20" t="d">
        <x:v>2026-04-01T00:00:00.000Z</x:v>
      </x:c>
      <x:c r="D18" s="1" t="str">
        <x:v>Services</x:v>
      </x:c>
      <x:c r="E18" s="25" t="n">
        <x:f>'Source'!E18</x:f>
        <x:v>526</x:v>
      </x:c>
      <x:c r="F18" s="26" t="n">
        <x:f>'Source'!F18</x:f>
        <x:v>286.71</x:v>
      </x:c>
      <x:c r="G18" s="26" t="n">
        <x:f>'Source'!G18</x:f>
        <x:v>108.86</x:v>
      </x:c>
      <x:c r="H18" s="27" t="n">
        <x:f>'Source'!H18</x:f>
        <x:v>42168</x:v>
      </x:c>
      <x:c r="I18" s="27" t="n">
        <x:f>'Source'!I18</x:f>
        <x:v>51408</x:v>
      </x:c>
      <x:c r="J18" s="28" t="n">
        <x:f>E18*F18</x:f>
        <x:v>150809.46</x:v>
      </x:c>
      <x:c r="K18" s="28" t="n">
        <x:f>E18*G18</x:f>
        <x:v>57260.36</x:v>
      </x:c>
      <x:c r="L18" s="28" t="n">
        <x:f>J18-SUM(K18,H18:I18)</x:f>
        <x:v>-26.89999999999418</x:v>
      </x:c>
      <x:c r="M18" s="44" t="n">
        <x:v>0.98</x:v>
      </x:c>
      <x:c r="N18" s="24" t="n">
        <x:v>42000</x:v>
      </x:c>
    </x:row>
    <x:row r="19" ht="22" customHeight="1">
      <x:c r="A19" s="1"/>
      <x:c r="B19" s="1"/>
      <x:c r="C19" s="20" t="d">
        <x:v>2026-05-01T00:00:00.000Z</x:v>
      </x:c>
      <x:c r="D19" s="1" t="str">
        <x:v>Core</x:v>
      </x:c>
      <x:c r="E19" s="25" t="n">
        <x:f>'Source'!E19</x:f>
        <x:v>925</x:v>
      </x:c>
      <x:c r="F19" s="26" t="n">
        <x:f>'Source'!F19</x:f>
        <x:v>413.08</x:v>
      </x:c>
      <x:c r="G19" s="26" t="n">
        <x:f>'Source'!G19</x:f>
        <x:v>250.48</x:v>
      </x:c>
      <x:c r="H19" s="27" t="n">
        <x:f>'Source'!H19</x:f>
        <x:v>89445</x:v>
      </x:c>
      <x:c r="I19" s="27" t="n">
        <x:f>'Source'!I19</x:f>
        <x:v>61610</x:v>
      </x:c>
      <x:c r="J19" s="28" t="n">
        <x:f>E19*F19</x:f>
        <x:v>382099</x:v>
      </x:c>
      <x:c r="K19" s="28" t="n">
        <x:f>E19*G19</x:f>
        <x:v>231694</x:v>
      </x:c>
      <x:c r="L19" s="28" t="n">
        <x:f>J19-SUM(K19,H19:I19)</x:f>
        <x:v>-650</x:v>
      </x:c>
      <x:c r="M19" s="44" t="n">
        <x:v>1.02</x:v>
      </x:c>
      <x:c r="N19" s="24" t="n">
        <x:v>89000</x:v>
      </x:c>
    </x:row>
    <x:row r="20" ht="22" customHeight="1">
      <x:c r="A20" s="1"/>
      <x:c r="B20" s="1"/>
      <x:c r="C20" s="20" t="d">
        <x:v>2026-05-01T00:00:00.000Z</x:v>
      </x:c>
      <x:c r="D20" s="1" t="str">
        <x:v>Enterprise</x:v>
      </x:c>
      <x:c r="E20" s="25" t="n">
        <x:f>'Source'!E20</x:f>
        <x:v>306</x:v>
      </x:c>
      <x:c r="F20" s="26" t="n">
        <x:f>'Source'!F20</x:f>
        <x:v>1128.4</x:v>
      </x:c>
      <x:c r="G20" s="26" t="n">
        <x:f>'Source'!G20</x:f>
        <x:v>611.05</x:v>
      </x:c>
      <x:c r="H20" s="27" t="n">
        <x:f>'Source'!H20</x:f>
        <x:v>76380</x:v>
      </x:c>
      <x:c r="I20" s="27" t="n">
        <x:f>'Source'!I20</x:f>
        <x:v>82820</x:v>
      </x:c>
      <x:c r="J20" s="28" t="n">
        <x:f>E20*F20</x:f>
        <x:v>345290.4</x:v>
      </x:c>
      <x:c r="K20" s="28" t="n">
        <x:f>E20*G20</x:f>
        <x:v>186981.3</x:v>
      </x:c>
      <x:c r="L20" s="28" t="n">
        <x:f>J20-SUM(K20,H20:I20)</x:f>
        <x:v>-890.8999999999651</x:v>
      </x:c>
      <x:c r="M20" s="44" t="n">
        <x:v>1.02</x:v>
      </x:c>
      <x:c r="N20" s="24" t="n">
        <x:v>76000</x:v>
      </x:c>
    </x:row>
    <x:row r="21" ht="22" customHeight="1">
      <x:c r="A21" s="1"/>
      <x:c r="B21" s="1"/>
      <x:c r="C21" s="20" t="d">
        <x:v>2026-05-01T00:00:00.000Z</x:v>
      </x:c>
      <x:c r="D21" s="1" t="str">
        <x:v>Services</x:v>
      </x:c>
      <x:c r="E21" s="25" t="n">
        <x:f>'Source'!E21</x:f>
        <x:v>551</x:v>
      </x:c>
      <x:c r="F21" s="26" t="n">
        <x:f>'Source'!F21</x:f>
        <x:v>287.14</x:v>
      </x:c>
      <x:c r="G21" s="26" t="n">
        <x:f>'Source'!G21</x:f>
        <x:v>109.08</x:v>
      </x:c>
      <x:c r="H21" s="27" t="n">
        <x:f>'Source'!H21</x:f>
        <x:v>42210</x:v>
      </x:c>
      <x:c r="I21" s="27" t="n">
        <x:f>'Source'!I21</x:f>
        <x:v>51510</x:v>
      </x:c>
      <x:c r="J21" s="28" t="n">
        <x:f>E21*F21</x:f>
        <x:v>158214.13999999998</x:v>
      </x:c>
      <x:c r="K21" s="28" t="n">
        <x:f>E21*G21</x:f>
        <x:v>60103.08</x:v>
      </x:c>
      <x:c r="L21" s="28" t="n">
        <x:f>J21-SUM(K21,H21:I21)</x:f>
        <x:v>4391.059999999969</x:v>
      </x:c>
      <x:c r="M21" s="44" t="n">
        <x:v>1.02</x:v>
      </x:c>
      <x:c r="N21" s="24" t="n">
        <x:v>42000</x:v>
      </x:c>
    </x:row>
    <x:row r="22" ht="22" customHeight="1">
      <x:c r="A22" s="1"/>
      <x:c r="B22" s="1"/>
      <x:c r="C22" s="20" t="d">
        <x:v>2026-06-01T00:00:00.000Z</x:v>
      </x:c>
      <x:c r="D22" s="1" t="str">
        <x:v>Core</x:v>
      </x:c>
      <x:c r="E22" s="25" t="n">
        <x:f>'Source'!E22</x:f>
        <x:v>912</x:v>
      </x:c>
      <x:c r="F22" s="26" t="n">
        <x:f>'Source'!F22</x:f>
        <x:v>413.69</x:v>
      </x:c>
      <x:c r="G22" s="26" t="n">
        <x:f>'Source'!G22</x:f>
        <x:v>250.98</x:v>
      </x:c>
      <x:c r="H22" s="27" t="n">
        <x:f>'Source'!H22</x:f>
        <x:v>89534</x:v>
      </x:c>
      <x:c r="I22" s="27" t="n">
        <x:f>'Source'!I22</x:f>
        <x:v>61732</x:v>
      </x:c>
      <x:c r="J22" s="28" t="n">
        <x:f>E22*F22</x:f>
        <x:v>377285.27999999997</x:v>
      </x:c>
      <x:c r="K22" s="28" t="n">
        <x:f>E22*G22</x:f>
        <x:v>228893.75999999998</x:v>
      </x:c>
      <x:c r="L22" s="28" t="n">
        <x:f>J22-SUM(K22,H22:I22)</x:f>
        <x:v>-2874.4800000000396</x:v>
      </x:c>
      <x:c r="M22" s="44" t="n">
        <x:v>1</x:v>
      </x:c>
      <x:c r="N22" s="24" t="n">
        <x:v>89000</x:v>
      </x:c>
    </x:row>
    <x:row r="23" ht="22" customHeight="1">
      <x:c r="A23" s="1"/>
      <x:c r="B23" s="1"/>
      <x:c r="C23" s="20" t="d">
        <x:v>2026-06-01T00:00:00.000Z</x:v>
      </x:c>
      <x:c r="D23" s="1" t="str">
        <x:v>Enterprise</x:v>
      </x:c>
      <x:c r="E23" s="25" t="n">
        <x:f>'Source'!E23</x:f>
        <x:v>302</x:v>
      </x:c>
      <x:c r="F23" s="26" t="n">
        <x:f>'Source'!F23</x:f>
        <x:v>1130.08</x:v>
      </x:c>
      <x:c r="G23" s="26" t="n">
        <x:f>'Source'!G23</x:f>
        <x:v>612.26</x:v>
      </x:c>
      <x:c r="H23" s="27" t="n">
        <x:f>'Source'!H23</x:f>
        <x:v>76456</x:v>
      </x:c>
      <x:c r="I23" s="27" t="n">
        <x:f>'Source'!I23</x:f>
        <x:v>82984</x:v>
      </x:c>
      <x:c r="J23" s="28" t="n">
        <x:f>E23*F23</x:f>
        <x:v>341284.16</x:v>
      </x:c>
      <x:c r="K23" s="28" t="n">
        <x:f>E23*G23</x:f>
        <x:v>184902.52</x:v>
      </x:c>
      <x:c r="L23" s="28" t="n">
        <x:f>J23-SUM(K23,H23:I23)</x:f>
        <x:v>-3058.3600000000442</x:v>
      </x:c>
      <x:c r="M23" s="44" t="n">
        <x:v>1</x:v>
      </x:c>
      <x:c r="N23" s="24" t="n">
        <x:v>76000</x:v>
      </x:c>
    </x:row>
    <x:row r="24" ht="22" customHeight="1">
      <x:c r="A24" s="1"/>
      <x:c r="B24" s="1"/>
      <x:c r="C24" s="20" t="d">
        <x:v>2026-06-01T00:00:00.000Z</x:v>
      </x:c>
      <x:c r="D24" s="1" t="str">
        <x:v>Services</x:v>
      </x:c>
      <x:c r="E24" s="25" t="n">
        <x:f>'Source'!E24</x:f>
        <x:v>543</x:v>
      </x:c>
      <x:c r="F24" s="26" t="n">
        <x:f>'Source'!F24</x:f>
        <x:v>287.56</x:v>
      </x:c>
      <x:c r="G24" s="26" t="n">
        <x:f>'Source'!G24</x:f>
        <x:v>109.3</x:v>
      </x:c>
      <x:c r="H24" s="27" t="n">
        <x:f>'Source'!H24</x:f>
        <x:v>42252</x:v>
      </x:c>
      <x:c r="I24" s="27" t="n">
        <x:f>'Source'!I24</x:f>
        <x:v>51612</x:v>
      </x:c>
      <x:c r="J24" s="28" t="n">
        <x:f>E24*F24</x:f>
        <x:v>156145.08</x:v>
      </x:c>
      <x:c r="K24" s="28" t="n">
        <x:f>E24*G24</x:f>
        <x:v>59349.9</x:v>
      </x:c>
      <x:c r="L24" s="28" t="n">
        <x:f>J24-SUM(K24,H24:I24)</x:f>
        <x:v>2931.179999999993</x:v>
      </x:c>
      <x:c r="M24" s="44" t="n">
        <x:v>1</x:v>
      </x:c>
      <x:c r="N24" s="24" t="n">
        <x:v>42000</x:v>
      </x:c>
    </x:row>
    <x:row r="25" ht="22" customHeight="1">
      <x:c r="A25" s="1"/>
      <x:c r="B25" s="1"/>
      <x:c r="C25" s="20" t="d">
        <x:v>2026-07-01T00:00:00.000Z</x:v>
      </x:c>
      <x:c r="D25" s="1" t="str">
        <x:v>Core</x:v>
      </x:c>
      <x:c r="E25" s="25" t="n">
        <x:f>ROUND(E22*(1+'Assumptions'!$D$8)^1*M25/M22,0)</x:f>
        <x:v>932</x:v>
      </x:c>
      <x:c r="F25" s="26" t="n">
        <x:f>F22*(1+'Assumptions'!$D$13)^1</x:f>
        <x:v>421.13642</x:v>
      </x:c>
      <x:c r="G25" s="26" t="n">
        <x:f>G22*(1+'Assumptions'!$D$18)^1</x:f>
        <x:v>257.25449999999995</x:v>
      </x:c>
      <x:c r="H25" s="27" t="n">
        <x:f>N25*(1+0.001*7)*(1+'Assumptions'!$D$18*0.35)^1</x:f>
        <x:v>90407.20124999998</x:v>
      </x:c>
      <x:c r="I25" s="27" t="n">
        <x:f>'Source'!I22/(1+0.002*6)*(1+0.002*7)*(1+'Assumptions'!$D$23)^1</x:f>
        <x:v>63091.08</x:v>
      </x:c>
      <x:c r="J25" s="28" t="n">
        <x:f>E25*F25</x:f>
        <x:v>392499.14344</x:v>
      </x:c>
      <x:c r="K25" s="28" t="n">
        <x:f>E25*G25</x:f>
        <x:v>239761.19399999996</x:v>
      </x:c>
      <x:c r="L25" s="28" t="n">
        <x:f>J25-SUM(K25,H25:I25)</x:f>
        <x:v>-760.3318099999451</x:v>
      </x:c>
      <x:c r="M25" s="44" t="n">
        <x:v>1.01</x:v>
      </x:c>
      <x:c r="N25" s="24" t="n">
        <x:v>89000</x:v>
      </x:c>
    </x:row>
    <x:row r="26" ht="22" customHeight="1">
      <x:c r="A26" s="1"/>
      <x:c r="B26" s="1"/>
      <x:c r="C26" s="20" t="d">
        <x:v>2026-07-01T00:00:00.000Z</x:v>
      </x:c>
      <x:c r="D26" s="1" t="str">
        <x:v>Enterprise</x:v>
      </x:c>
      <x:c r="E26" s="25" t="n">
        <x:f>ROUND(E23*(1+'Assumptions'!$D$8)^1*M26/M23,0)</x:f>
        <x:v>309</x:v>
      </x:c>
      <x:c r="F26" s="26" t="n">
        <x:f>F23*(1+'Assumptions'!$D$13)^1</x:f>
        <x:v>1150.4214399999998</x:v>
      </x:c>
      <x:c r="G26" s="26" t="n">
        <x:f>G23*(1+'Assumptions'!$D$18)^1</x:f>
        <x:v>627.5664999999999</x:v>
      </x:c>
      <x:c r="H26" s="27" t="n">
        <x:f>N26*(1+0.001*7)*(1+'Assumptions'!$D$18*0.35)^1</x:f>
        <x:v>77201.65499999998</x:v>
      </x:c>
      <x:c r="I26" s="27" t="n">
        <x:f>'Source'!I23/(1+0.002*6)*(1+0.002*7)*(1+'Assumptions'!$D$23)^1</x:f>
        <x:v>84810.96</x:v>
      </x:c>
      <x:c r="J26" s="28" t="n">
        <x:f>E26*F26</x:f>
        <x:v>355480.22495999996</x:v>
      </x:c>
      <x:c r="K26" s="28" t="n">
        <x:f>E26*G26</x:f>
        <x:v>193918.04849999998</x:v>
      </x:c>
      <x:c r="L26" s="28" t="n">
        <x:f>J26-SUM(K26,H26:I26)</x:f>
        <x:v>-450.43854000000283</x:v>
      </x:c>
      <x:c r="M26" s="44" t="n">
        <x:v>1.01</x:v>
      </x:c>
      <x:c r="N26" s="24" t="n">
        <x:v>76000</x:v>
      </x:c>
    </x:row>
    <x:row r="27" ht="22" customHeight="1">
      <x:c r="A27" s="1"/>
      <x:c r="B27" s="1"/>
      <x:c r="C27" s="20" t="d">
        <x:v>2026-07-01T00:00:00.000Z</x:v>
      </x:c>
      <x:c r="D27" s="1" t="str">
        <x:v>Services</x:v>
      </x:c>
      <x:c r="E27" s="25" t="n">
        <x:f>ROUND(E24*(1+'Assumptions'!$D$8)^1*M27/M24,0)</x:f>
        <x:v>555</x:v>
      </x:c>
      <x:c r="F27" s="26" t="n">
        <x:f>F24*(1+'Assumptions'!$D$13)^1</x:f>
        <x:v>292.73608</x:v>
      </x:c>
      <x:c r="G27" s="26" t="n">
        <x:f>G24*(1+'Assumptions'!$D$18)^1</x:f>
        <x:v>112.03249999999998</x:v>
      </x:c>
      <x:c r="H27" s="27" t="n">
        <x:f>N27*(1+0.001*7)*(1+'Assumptions'!$D$18*0.35)^1</x:f>
        <x:v>42664.072499999995</x:v>
      </x:c>
      <x:c r="I27" s="27" t="n">
        <x:f>'Source'!I24/(1+0.002*6)*(1+0.002*7)*(1+'Assumptions'!$D$23)^1</x:f>
        <x:v>52748.28</x:v>
      </x:c>
      <x:c r="J27" s="28" t="n">
        <x:f>E27*F27</x:f>
        <x:v>162468.5244</x:v>
      </x:c>
      <x:c r="K27" s="28" t="n">
        <x:f>E27*G27</x:f>
        <x:v>62178.03749999999</x:v>
      </x:c>
      <x:c r="L27" s="28" t="n">
        <x:f>J27-SUM(K27,H27:I27)</x:f>
        <x:v>4878.13440000001</x:v>
      </x:c>
      <x:c r="M27" s="44" t="n">
        <x:v>1.01</x:v>
      </x:c>
      <x:c r="N27" s="24" t="n">
        <x:v>42000</x:v>
      </x:c>
    </x:row>
    <x:row r="28" ht="22" customHeight="1">
      <x:c r="A28" s="1"/>
      <x:c r="B28" s="1"/>
      <x:c r="C28" s="20" t="d">
        <x:v>2026-08-01T00:00:00.000Z</x:v>
      </x:c>
      <x:c r="D28" s="1" t="str">
        <x:v>Core</x:v>
      </x:c>
      <x:c r="E28" s="25" t="n">
        <x:f>ROUND(E22*(1+'Assumptions'!$D$8)^2*M28/M22,0)</x:f>
        <x:v>971</x:v>
      </x:c>
      <x:c r="F28" s="26" t="n">
        <x:f>F22*(1+'Assumptions'!$D$13)^2</x:f>
        <x:v>428.71687556</x:v>
      </x:c>
      <x:c r="G28" s="26" t="n">
        <x:f>G22*(1+'Assumptions'!$D$18)^2</x:f>
        <x:v>263.6858625</x:v>
      </x:c>
      <x:c r="H28" s="27" t="n">
        <x:f>N28*(1+0.001*8)*(1+'Assumptions'!$D$18*0.35)^2</x:f>
        <x:v>91288.82857500002</x:v>
      </x:c>
      <x:c r="I28" s="27" t="n">
        <x:f>'Source'!I22/(1+0.002*6)*(1+0.002*8)*(1+'Assumptions'!$D$23)^2</x:f>
        <x:v>64479.8304</x:v>
      </x:c>
      <x:c r="J28" s="28" t="n">
        <x:f>E28*F28</x:f>
        <x:v>416284.08616876</x:v>
      </x:c>
      <x:c r="K28" s="28" t="n">
        <x:f>E28*G28</x:f>
        <x:v>256038.9724875</x:v>
      </x:c>
      <x:c r="L28" s="28" t="n">
        <x:f>J28-SUM(K28,H28:I28)</x:f>
        <x:v>4476.454706260003</x:v>
      </x:c>
      <x:c r="M28" s="44" t="n">
        <x:v>1.04</x:v>
      </x:c>
      <x:c r="N28" s="24" t="n">
        <x:v>89000</x:v>
      </x:c>
    </x:row>
    <x:row r="29" ht="22" customHeight="1">
      <x:c r="A29" s="1"/>
      <x:c r="B29" s="1"/>
      <x:c r="C29" s="20" t="d">
        <x:v>2026-08-01T00:00:00.000Z</x:v>
      </x:c>
      <x:c r="D29" s="1" t="str">
        <x:v>Enterprise</x:v>
      </x:c>
      <x:c r="E29" s="25" t="n">
        <x:f>ROUND(E23*(1+'Assumptions'!$D$8)^2*M29/M23,0)</x:f>
        <x:v>322</x:v>
      </x:c>
      <x:c r="F29" s="26" t="n">
        <x:f>F23*(1+'Assumptions'!$D$13)^2</x:f>
        <x:v>1171.12902592</x:v>
      </x:c>
      <x:c r="G29" s="26" t="n">
        <x:f>G23*(1+'Assumptions'!$D$18)^2</x:f>
        <x:v>643.2556625</x:v>
      </x:c>
      <x:c r="H29" s="27" t="n">
        <x:f>N29*(1+0.001*8)*(1+'Assumptions'!$D$18*0.35)^2</x:f>
        <x:v>77954.50530000002</x:v>
      </x:c>
      <x:c r="I29" s="27" t="n">
        <x:f>'Source'!I23/(1+0.002*6)*(1+0.002*8)*(1+'Assumptions'!$D$23)^2</x:f>
        <x:v>86677.8048</x:v>
      </x:c>
      <x:c r="J29" s="28" t="n">
        <x:f>E29*F29</x:f>
        <x:v>377103.54634624</x:v>
      </x:c>
      <x:c r="K29" s="28" t="n">
        <x:f>E29*G29</x:f>
        <x:v>207128.323325</x:v>
      </x:c>
      <x:c r="L29" s="28" t="n">
        <x:f>J29-SUM(K29,H29:I29)</x:f>
        <x:v>5342.912921239971</x:v>
      </x:c>
      <x:c r="M29" s="44" t="n">
        <x:v>1.04</x:v>
      </x:c>
      <x:c r="N29" s="24" t="n">
        <x:v>76000</x:v>
      </x:c>
    </x:row>
    <x:row r="30" ht="22" customHeight="1">
      <x:c r="A30" s="1"/>
      <x:c r="B30" s="1"/>
      <x:c r="C30" s="20" t="d">
        <x:v>2026-08-01T00:00:00.000Z</x:v>
      </x:c>
      <x:c r="D30" s="1" t="str">
        <x:v>Services</x:v>
      </x:c>
      <x:c r="E30" s="25" t="n">
        <x:f>ROUND(E24*(1+'Assumptions'!$D$8)^2*M30/M24,0)</x:f>
        <x:v>578</x:v>
      </x:c>
      <x:c r="F30" s="26" t="n">
        <x:f>F24*(1+'Assumptions'!$D$13)^2</x:f>
        <x:v>298.00532944</x:v>
      </x:c>
      <x:c r="G30" s="26" t="n">
        <x:f>G24*(1+'Assumptions'!$D$18)^2</x:f>
        <x:v>114.83331249999999</x:v>
      </x:c>
      <x:c r="H30" s="27" t="n">
        <x:f>N30*(1+0.001*8)*(1+'Assumptions'!$D$18*0.35)^2</x:f>
        <x:v>43080.12135000001</x:v>
      </x:c>
      <x:c r="I30" s="27" t="n">
        <x:f>'Source'!I24/(1+0.002*6)*(1+0.002*8)*(1+'Assumptions'!$D$23)^2</x:f>
        <x:v>53909.3664</x:v>
      </x:c>
      <x:c r="J30" s="28" t="n">
        <x:f>E30*F30</x:f>
        <x:v>172247.08041632</x:v>
      </x:c>
      <x:c r="K30" s="28" t="n">
        <x:f>E30*G30</x:f>
        <x:v>66373.654625</x:v>
      </x:c>
      <x:c r="L30" s="28" t="n">
        <x:f>J30-SUM(K30,H30:I30)</x:f>
        <x:v>8883.938041320012</x:v>
      </x:c>
      <x:c r="M30" s="44" t="n">
        <x:v>1.04</x:v>
      </x:c>
      <x:c r="N30" s="24" t="n">
        <x:v>42000</x:v>
      </x:c>
    </x:row>
    <x:row r="31" ht="22" customHeight="1">
      <x:c r="A31" s="1"/>
      <x:c r="B31" s="1"/>
      <x:c r="C31" s="20" t="d">
        <x:v>2026-09-01T00:00:00.000Z</x:v>
      </x:c>
      <x:c r="D31" s="1" t="str">
        <x:v>Core</x:v>
      </x:c>
      <x:c r="E31" s="25" t="n">
        <x:f>ROUND(E22*(1+'Assumptions'!$D$8)^3*M31/M22,0)</x:f>
        <x:v>955</x:v>
      </x:c>
      <x:c r="F31" s="26" t="n">
        <x:f>F22*(1+'Assumptions'!$D$13)^3</x:f>
        <x:v>436.43377932008</x:v>
      </x:c>
      <x:c r="G31" s="26" t="n">
        <x:f>G22*(1+'Assumptions'!$D$18)^3</x:f>
        <x:v>270.2780090624999</x:v>
      </x:c>
      <x:c r="H31" s="27" t="n">
        <x:f>N31*(1+0.001*9)*(1+'Assumptions'!$D$18*0.35)^3</x:f>
        <x:v>92178.96257684179</x:v>
      </x:c>
      <x:c r="I31" s="27" t="n">
        <x:f>'Source'!I22/(1+0.002*6)*(1+0.002*9)*(1+'Assumptions'!$D$23)^3</x:f>
        <x:v>65898.89438400001</x:v>
      </x:c>
      <x:c r="J31" s="28" t="n">
        <x:f>E31*F31</x:f>
        <x:v>416794.25925067643</x:v>
      </x:c>
      <x:c r="K31" s="28" t="n">
        <x:f>E31*G31</x:f>
        <x:v>258115.4986546874</x:v>
      </x:c>
      <x:c r="L31" s="28" t="n">
        <x:f>J31-SUM(K31,H31:I31)</x:f>
        <x:v>600.9036351472023</x:v>
      </x:c>
      <x:c r="M31" s="44" t="n">
        <x:v>1.01</x:v>
      </x:c>
      <x:c r="N31" s="24" t="n">
        <x:v>89000</x:v>
      </x:c>
    </x:row>
    <x:row r="32" ht="22" customHeight="1">
      <x:c r="A32" s="1"/>
      <x:c r="B32" s="1"/>
      <x:c r="C32" s="20" t="d">
        <x:v>2026-09-01T00:00:00.000Z</x:v>
      </x:c>
      <x:c r="D32" s="1" t="str">
        <x:v>Enterprise</x:v>
      </x:c>
      <x:c r="E32" s="25" t="n">
        <x:f>ROUND(E23*(1+'Assumptions'!$D$8)^3*M32/M23,0)</x:f>
        <x:v>316</x:v>
      </x:c>
      <x:c r="F32" s="26" t="n">
        <x:f>F23*(1+'Assumptions'!$D$13)^3</x:f>
        <x:v>1192.20934838656</x:v>
      </x:c>
      <x:c r="G32" s="26" t="n">
        <x:f>G23*(1+'Assumptions'!$D$18)^3</x:f>
        <x:v>659.3370540624998</x:v>
      </x:c>
      <x:c r="H32" s="27" t="n">
        <x:f>N32*(1+0.001*9)*(1+'Assumptions'!$D$18*0.35)^3</x:f>
        <x:v>78714.61972853905</x:v>
      </x:c>
      <x:c r="I32" s="27" t="n">
        <x:f>'Source'!I23/(1+0.002*6)*(1+0.002*9)*(1+'Assumptions'!$D$23)^3</x:f>
        <x:v>88585.39900800001</x:v>
      </x:c>
      <x:c r="J32" s="28" t="n">
        <x:f>E32*F32</x:f>
        <x:v>376738.15409015294</x:v>
      </x:c>
      <x:c r="K32" s="28" t="n">
        <x:f>E32*G32</x:f>
        <x:v>208350.50908374993</x:v>
      </x:c>
      <x:c r="L32" s="28" t="n">
        <x:f>J32-SUM(K32,H32:I32)</x:f>
        <x:v>1087.6262698639184</x:v>
      </x:c>
      <x:c r="M32" s="44" t="n">
        <x:v>1.01</x:v>
      </x:c>
      <x:c r="N32" s="24" t="n">
        <x:v>76000</x:v>
      </x:c>
    </x:row>
    <x:row r="33" ht="22" customHeight="1">
      <x:c r="A33" s="1"/>
      <x:c r="B33" s="1"/>
      <x:c r="C33" s="20" t="d">
        <x:v>2026-09-01T00:00:00.000Z</x:v>
      </x:c>
      <x:c r="D33" s="1" t="str">
        <x:v>Services</x:v>
      </x:c>
      <x:c r="E33" s="25" t="n">
        <x:f>ROUND(E24*(1+'Assumptions'!$D$8)^3*M33/M24,0)</x:f>
        <x:v>568</x:v>
      </x:c>
      <x:c r="F33" s="26" t="n">
        <x:f>F24*(1+'Assumptions'!$D$13)^3</x:f>
        <x:v>303.36942536992</x:v>
      </x:c>
      <x:c r="G33" s="26" t="n">
        <x:f>G24*(1+'Assumptions'!$D$18)^3</x:f>
        <x:v>117.70414531249996</x:v>
      </x:c>
      <x:c r="H33" s="27" t="n">
        <x:f>N33*(1+0.001*9)*(1+'Assumptions'!$D$18*0.35)^3</x:f>
        <x:v>43500.184586824216</x:v>
      </x:c>
      <x:c r="I33" s="27" t="n">
        <x:f>'Source'!I24/(1+0.002*6)*(1+0.002*9)*(1+'Assumptions'!$D$23)^3</x:f>
        <x:v>55095.79694400001</x:v>
      </x:c>
      <x:c r="J33" s="28" t="n">
        <x:f>E33*F33</x:f>
        <x:v>172313.83361011455</x:v>
      </x:c>
      <x:c r="K33" s="28" t="n">
        <x:f>E33*G33</x:f>
        <x:v>66855.95453749997</x:v>
      </x:c>
      <x:c r="L33" s="28" t="n">
        <x:f>J33-SUM(K33,H33:I33)</x:f>
        <x:v>6861.897541790357</x:v>
      </x:c>
      <x:c r="M33" s="44" t="n">
        <x:v>1.01</x:v>
      </x:c>
      <x:c r="N33" s="24" t="n">
        <x:v>42000</x:v>
      </x:c>
    </x:row>
    <x:row r="34" ht="22" customHeight="1">
      <x:c r="A34" s="1"/>
      <x:c r="B34" s="1"/>
      <x:c r="C34" s="20" t="d">
        <x:v>2026-10-01T00:00:00.000Z</x:v>
      </x:c>
      <x:c r="D34" s="1" t="str">
        <x:v>Core</x:v>
      </x:c>
      <x:c r="E34" s="25" t="n">
        <x:f>ROUND(E22*(1+'Assumptions'!$D$8)^4*M34/M22,0)</x:f>
        <x:v>1033</x:v>
      </x:c>
      <x:c r="F34" s="26" t="n">
        <x:f>F22*(1+'Assumptions'!$D$13)^4</x:f>
        <x:v>444.28958734784146</x:v>
      </x:c>
      <x:c r="G34" s="26" t="n">
        <x:f>G22*(1+'Assumptions'!$D$18)^4</x:f>
        <x:v>277.0349592890624</x:v>
      </x:c>
      <x:c r="H34" s="27" t="n">
        <x:f>N34*(1+0.001*10)*(1+'Assumptions'!$D$18*0.35)^4</x:f>
        <x:v>93077.68462277806</x:v>
      </x:c>
      <x:c r="I34" s="27" t="n">
        <x:f>'Source'!I22/(1+0.002*6)*(1+0.002*10)*(1+'Assumptions'!$D$23)^4</x:f>
        <x:v>67348.9289952</x:v>
      </x:c>
      <x:c r="J34" s="28" t="n">
        <x:f>E34*F34</x:f>
        <x:v>458951.1437303202</x:v>
      </x:c>
      <x:c r="K34" s="28" t="n">
        <x:f>E34*G34</x:f>
        <x:v>286177.11294560146</x:v>
      </x:c>
      <x:c r="L34" s="28" t="n">
        <x:f>J34-SUM(K34,H34:I34)</x:f>
        <x:v>12347.417166740692</x:v>
      </x:c>
      <x:c r="M34" s="44" t="n">
        <x:v>1.08</x:v>
      </x:c>
      <x:c r="N34" s="24" t="n">
        <x:v>89000</x:v>
      </x:c>
    </x:row>
    <x:row r="35" ht="22" customHeight="1">
      <x:c r="A35" s="1"/>
      <x:c r="B35" s="1"/>
      <x:c r="C35" s="20" t="d">
        <x:v>2026-10-01T00:00:00.000Z</x:v>
      </x:c>
      <x:c r="D35" s="1" t="str">
        <x:v>Enterprise</x:v>
      </x:c>
      <x:c r="E35" s="25" t="n">
        <x:f>ROUND(E23*(1+'Assumptions'!$D$8)^4*M35/M23,0)</x:f>
        <x:v>342</x:v>
      </x:c>
      <x:c r="F35" s="26" t="n">
        <x:f>F23*(1+'Assumptions'!$D$13)^4</x:f>
        <x:v>1213.669116657518</x:v>
      </x:c>
      <x:c r="G35" s="26" t="n">
        <x:f>G23*(1+'Assumptions'!$D$18)^4</x:f>
        <x:v>675.8204804140622</x:v>
      </x:c>
      <x:c r="H35" s="27" t="n">
        <x:f>N35*(1+0.001*10)*(1+'Assumptions'!$D$18*0.35)^4</x:f>
        <x:v>79482.06776776553</x:v>
      </x:c>
      <x:c r="I35" s="27" t="n">
        <x:f>'Source'!I23/(1+0.002*6)*(1+0.002*10)*(1+'Assumptions'!$D$23)^4</x:f>
        <x:v>90534.6258624</x:v>
      </x:c>
      <x:c r="J35" s="28" t="n">
        <x:f>E35*F35</x:f>
        <x:v>415074.8378968712</x:v>
      </x:c>
      <x:c r="K35" s="28" t="n">
        <x:f>E35*G35</x:f>
        <x:v>231130.60430160927</x:v>
      </x:c>
      <x:c r="L35" s="28" t="n">
        <x:f>J35-SUM(K35,H35:I35)</x:f>
        <x:v>13927.539965096395</x:v>
      </x:c>
      <x:c r="M35" s="44" t="n">
        <x:v>1.08</x:v>
      </x:c>
      <x:c r="N35" s="24" t="n">
        <x:v>76000</x:v>
      </x:c>
    </x:row>
    <x:row r="36" ht="22" customHeight="1">
      <x:c r="A36" s="1"/>
      <x:c r="B36" s="1"/>
      <x:c r="C36" s="20" t="d">
        <x:v>2026-10-01T00:00:00.000Z</x:v>
      </x:c>
      <x:c r="D36" s="1" t="str">
        <x:v>Services</x:v>
      </x:c>
      <x:c r="E36" s="25" t="n">
        <x:f>ROUND(E24*(1+'Assumptions'!$D$8)^4*M36/M24,0)</x:f>
        <x:v>615</x:v>
      </x:c>
      <x:c r="F36" s="26" t="n">
        <x:f>F24*(1+'Assumptions'!$D$13)^4</x:f>
        <x:v>308.8300750265786</x:v>
      </x:c>
      <x:c r="G36" s="26" t="n">
        <x:f>G24*(1+'Assumptions'!$D$18)^4</x:f>
        <x:v>120.64674894531245</x:v>
      </x:c>
      <x:c r="H36" s="27" t="n">
        <x:f>N36*(1+0.001*10)*(1+'Assumptions'!$D$18*0.35)^4</x:f>
        <x:v>43924.30060850201</x:v>
      </x:c>
      <x:c r="I36" s="27" t="n">
        <x:f>'Source'!I24/(1+0.002*6)*(1+0.002*10)*(1+'Assumptions'!$D$23)^4</x:f>
        <x:v>56308.120963199995</x:v>
      </x:c>
      <x:c r="J36" s="28" t="n">
        <x:f>E36*F36</x:f>
        <x:v>189930.49614134582</x:v>
      </x:c>
      <x:c r="K36" s="28" t="n">
        <x:f>E36*G36</x:f>
        <x:v>74197.75060136715</x:v>
      </x:c>
      <x:c r="L36" s="28" t="n">
        <x:f>J36-SUM(K36,H36:I36)</x:f>
        <x:v>15500.323968276673</x:v>
      </x:c>
      <x:c r="M36" s="44" t="n">
        <x:v>1.08</x:v>
      </x:c>
      <x:c r="N36" s="24" t="n">
        <x:v>42000</x:v>
      </x:c>
    </x:row>
    <x:row r="37" ht="22" customHeight="1">
      <x:c r="A37" s="1"/>
      <x:c r="B37" s="1"/>
      <x:c r="C37" s="20" t="d">
        <x:v>2026-11-01T00:00:00.000Z</x:v>
      </x:c>
      <x:c r="D37" s="1" t="str">
        <x:v>Core</x:v>
      </x:c>
      <x:c r="E37" s="25" t="n">
        <x:f>ROUND(E22*(1+'Assumptions'!$D$8)^5*M37/M22,0)</x:f>
        <x:v>1094</x:v>
      </x:c>
      <x:c r="F37" s="26" t="n">
        <x:f>F22*(1+'Assumptions'!$D$13)^5</x:f>
        <x:v>452.2867999201026</x:v>
      </x:c>
      <x:c r="G37" s="26" t="n">
        <x:f>G22*(1+'Assumptions'!$D$18)^5</x:f>
        <x:v>283.9608332712889</x:v>
      </x:c>
      <x:c r="H37" s="27" t="n">
        <x:f>N37*(1+0.001*11)*(1+'Assumptions'!$D$18*0.35)^5</x:f>
        <x:v>93985.0768526959</x:v>
      </x:c>
      <x:c r="I37" s="27" t="n">
        <x:f>'Source'!I22/(1+0.002*6)*(1+0.002*11)*(1+'Assumptions'!$D$23)^5</x:f>
        <x:v>68830.6054330944</x:v>
      </x:c>
      <x:c r="J37" s="28" t="n">
        <x:f>E37*F37</x:f>
        <x:v>494801.75911259226</x:v>
      </x:c>
      <x:c r="K37" s="28" t="n">
        <x:f>E37*G37</x:f>
        <x:v>310653.15159879</x:v>
      </x:c>
      <x:c r="L37" s="28" t="n">
        <x:f>J37-SUM(K37,H37:I37)</x:f>
        <x:v>21332.92522801197</x:v>
      </x:c>
      <x:c r="M37" s="44" t="n">
        <x:v>1.13</x:v>
      </x:c>
      <x:c r="N37" s="24" t="n">
        <x:v>89000</x:v>
      </x:c>
    </x:row>
    <x:row r="38" ht="22" customHeight="1">
      <x:c r="A38" s="1"/>
      <x:c r="B38" s="1"/>
      <x:c r="C38" s="20" t="d">
        <x:v>2026-11-01T00:00:00.000Z</x:v>
      </x:c>
      <x:c r="D38" s="1" t="str">
        <x:v>Enterprise</x:v>
      </x:c>
      <x:c r="E38" s="25" t="n">
        <x:f>ROUND(E23*(1+'Assumptions'!$D$8)^5*M38/M23,0)</x:f>
        <x:v>362</x:v>
      </x:c>
      <x:c r="F38" s="26" t="n">
        <x:f>F23*(1+'Assumptions'!$D$13)^5</x:f>
        <x:v>1235.5151607573534</x:v>
      </x:c>
      <x:c r="G38" s="26" t="n">
        <x:f>G23*(1+'Assumptions'!$D$18)^5</x:f>
        <x:v>692.7159924244137</x:v>
      </x:c>
      <x:c r="H38" s="27" t="n">
        <x:f>N38*(1+0.001*11)*(1+'Assumptions'!$D$18*0.35)^5</x:f>
        <x:v>80256.91955960548</x:v>
      </x:c>
      <x:c r="I38" s="27" t="n">
        <x:f>'Source'!I23/(1+0.002*6)*(1+0.002*11)*(1+'Assumptions'!$D$23)^5</x:f>
        <x:v>92526.3876313728</x:v>
      </x:c>
      <x:c r="J38" s="28" t="n">
        <x:f>E38*F38</x:f>
        <x:v>447256.48819416197</x:v>
      </x:c>
      <x:c r="K38" s="28" t="n">
        <x:f>E38*G38</x:f>
        <x:v>250763.18925763774</x:v>
      </x:c>
      <x:c r="L38" s="28" t="n">
        <x:f>J38-SUM(K38,H38:I38)</x:f>
        <x:v>23709.991745545936</x:v>
      </x:c>
      <x:c r="M38" s="44" t="n">
        <x:v>1.13</x:v>
      </x:c>
      <x:c r="N38" s="24" t="n">
        <x:v>76000</x:v>
      </x:c>
    </x:row>
    <x:row r="39" ht="22" customHeight="1">
      <x:c r="A39" s="1"/>
      <x:c r="B39" s="1"/>
      <x:c r="C39" s="20" t="d">
        <x:v>2026-11-01T00:00:00.000Z</x:v>
      </x:c>
      <x:c r="D39" s="1" t="str">
        <x:v>Services</x:v>
      </x:c>
      <x:c r="E39" s="25" t="n">
        <x:f>ROUND(E24*(1+'Assumptions'!$D$8)^5*M39/M24,0)</x:f>
        <x:v>651</x:v>
      </x:c>
      <x:c r="F39" s="26" t="n">
        <x:f>F24*(1+'Assumptions'!$D$13)^5</x:f>
        <x:v>314.38901637705703</x:v>
      </x:c>
      <x:c r="G39" s="26" t="n">
        <x:f>G24*(1+'Assumptions'!$D$18)^5</x:f>
        <x:v>123.66291766894524</x:v>
      </x:c>
      <x:c r="H39" s="27" t="n">
        <x:f>N39*(1+0.001*11)*(1+'Assumptions'!$D$18*0.35)^5</x:f>
        <x:v>44352.50817767672</x:v>
      </x:c>
      <x:c r="I39" s="27" t="n">
        <x:f>'Source'!I24/(1+0.002*6)*(1+0.002*11)*(1+'Assumptions'!$D$23)^5</x:f>
        <x:v>57546.899624390404</x:v>
      </x:c>
      <x:c r="J39" s="28" t="n">
        <x:f>E39*F39</x:f>
        <x:v>204667.24966146413</x:v>
      </x:c>
      <x:c r="K39" s="28" t="n">
        <x:f>E39*G39</x:f>
        <x:v>80504.55940248336</x:v>
      </x:c>
      <x:c r="L39" s="28" t="n">
        <x:f>J39-SUM(K39,H39:I39)</x:f>
        <x:v>22263.282456913672</x:v>
      </x:c>
      <x:c r="M39" s="44" t="n">
        <x:v>1.13</x:v>
      </x:c>
      <x:c r="N39" s="24" t="n">
        <x:v>42000</x:v>
      </x:c>
    </x:row>
    <x:row r="40" ht="22" customHeight="1">
      <x:c r="A40" s="1"/>
      <x:c r="B40" s="1"/>
      <x:c r="C40" s="20" t="d">
        <x:v>2026-12-01T00:00:00.000Z</x:v>
      </x:c>
      <x:c r="D40" s="1" t="str">
        <x:v>Core</x:v>
      </x:c>
      <x:c r="E40" s="25" t="n">
        <x:f>ROUND(E22*(1+'Assumptions'!$D$8)^6*M40/M22,0)</x:f>
        <x:v>1146</x:v>
      </x:c>
      <x:c r="F40" s="26" t="n">
        <x:f>F22*(1+'Assumptions'!$D$13)^6</x:f>
        <x:v>460.42796231866447</x:v>
      </x:c>
      <x:c r="G40" s="26" t="n">
        <x:f>G22*(1+'Assumptions'!$D$18)^6</x:f>
        <x:v>291.05985410307113</x:v>
      </x:c>
      <x:c r="H40" s="27" t="n">
        <x:f>N40*(1+0.001*12)*(1+'Assumptions'!$D$18*0.35)^6</x:f>
        <x:v>94901.22218640841</x:v>
      </x:c>
      <x:c r="I40" s="27" t="n">
        <x:f>'Source'!I22/(1+0.002*6)*(1+0.002*12)*(1+'Assumptions'!$D$23)^6</x:f>
        <x:v>70344.6093569065</x:v>
      </x:c>
      <x:c r="J40" s="28" t="n">
        <x:f>E40*F40</x:f>
        <x:v>527650.4448171895</x:v>
      </x:c>
      <x:c r="K40" s="28" t="n">
        <x:f>E40*G40</x:f>
        <x:v>333554.5928021195</x:v>
      </x:c>
      <x:c r="L40" s="28" t="n">
        <x:f>J40-SUM(K40,H40:I40)</x:f>
        <x:v>28850.020471755066</x:v>
      </x:c>
      <x:c r="M40" s="44" t="n">
        <x:v>1.17</x:v>
      </x:c>
      <x:c r="N40" s="24" t="n">
        <x:v>89000</x:v>
      </x:c>
    </x:row>
    <x:row r="41" ht="22" customHeight="1">
      <x:c r="A41" s="1"/>
      <x:c r="B41" s="1"/>
      <x:c r="C41" s="20" t="d">
        <x:v>2026-12-01T00:00:00.000Z</x:v>
      </x:c>
      <x:c r="D41" s="1" t="str">
        <x:v>Enterprise</x:v>
      </x:c>
      <x:c r="E41" s="25" t="n">
        <x:f>ROUND(E23*(1+'Assumptions'!$D$8)^6*M41/M23,0)</x:f>
        <x:v>380</x:v>
      </x:c>
      <x:c r="F41" s="26" t="n">
        <x:f>F23*(1+'Assumptions'!$D$13)^6</x:f>
        <x:v>1257.7544336509857</x:v>
      </x:c>
      <x:c r="G41" s="26" t="n">
        <x:f>G23*(1+'Assumptions'!$D$18)^6</x:f>
        <x:v>710.033892235024</x:v>
      </x:c>
      <x:c r="H41" s="27" t="n">
        <x:f>N41*(1+0.001*12)*(1+'Assumptions'!$D$18*0.35)^6</x:f>
        <x:v>81039.2459119892</x:v>
      </x:c>
      <x:c r="I41" s="27" t="n">
        <x:f>'Source'!I23/(1+0.002*6)*(1+0.002*12)*(1+'Assumptions'!$D$23)^6</x:f>
        <x:v>94561.60602075956</x:v>
      </x:c>
      <x:c r="J41" s="28" t="n">
        <x:f>E41*F41</x:f>
        <x:v>477946.6847873746</x:v>
      </x:c>
      <x:c r="K41" s="28" t="n">
        <x:f>E41*G41</x:f>
        <x:v>269812.8790493091</x:v>
      </x:c>
      <x:c r="L41" s="28" t="n">
        <x:f>J41-SUM(K41,H41:I41)</x:f>
        <x:v>32532.953805316705</x:v>
      </x:c>
      <x:c r="M41" s="44" t="n">
        <x:v>1.17</x:v>
      </x:c>
      <x:c r="N41" s="24" t="n">
        <x:v>76000</x:v>
      </x:c>
    </x:row>
    <x:row r="42" ht="22" customHeight="1">
      <x:c r="A42" s="1"/>
      <x:c r="B42" s="1"/>
      <x:c r="C42" s="20" t="d">
        <x:v>2026-12-01T00:00:00.000Z</x:v>
      </x:c>
      <x:c r="D42" s="1" t="str">
        <x:v>Services</x:v>
      </x:c>
      <x:c r="E42" s="25" t="n">
        <x:f>ROUND(E24*(1+'Assumptions'!$D$8)^6*M42/M24,0)</x:f>
        <x:v>682</x:v>
      </x:c>
      <x:c r="F42" s="26" t="n">
        <x:f>F24*(1+'Assumptions'!$D$13)^6</x:f>
        <x:v>320.04801867184403</x:v>
      </x:c>
      <x:c r="G42" s="26" t="n">
        <x:f>G24*(1+'Assumptions'!$D$18)^6</x:f>
        <x:v>126.75449061066887</x:v>
      </x:c>
      <x:c r="H42" s="27" t="n">
        <x:f>N42*(1+0.001*12)*(1+'Assumptions'!$D$18*0.35)^6</x:f>
        <x:v>44784.846425046664</x:v>
      </x:c>
      <x:c r="I42" s="27" t="n">
        <x:f>'Source'!I24/(1+0.002*6)*(1+0.002*12)*(1+'Assumptions'!$D$23)^6</x:f>
        <x:v>58812.70618364314</x:v>
      </x:c>
      <x:c r="J42" s="28" t="n">
        <x:f>E42*F42</x:f>
        <x:v>218272.74873419764</x:v>
      </x:c>
      <x:c r="K42" s="28" t="n">
        <x:f>E42*G42</x:f>
        <x:v>86446.56259647617</x:v>
      </x:c>
      <x:c r="L42" s="28" t="n">
        <x:f>J42-SUM(K42,H42:I42)</x:f>
        <x:v>28228.63352903165</x:v>
      </x:c>
      <x:c r="M42" s="44" t="n">
        <x:v>1.17</x:v>
      </x:c>
      <x:c r="N42" s="24" t="n">
        <x:v>42000</x:v>
      </x:c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</x:sheetData>
  <x:mergeCells>
    <x:mergeCell ref="D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1"/>
      <x:c r="B2" s="1"/>
      <x:c r="C2" s="2" t="str">
        <x:v>Monthly profit and cash forecast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2" customHeight="1">
      <x:c r="A6" s="1"/>
      <x:c r="B6" s="1"/>
      <x:c r="C6" s="1"/>
      <x:c r="D6" s="20" t="d">
        <x:v>2026-01-01T00:00:00.000Z</x:v>
      </x:c>
      <x:c r="E6" s="20" t="d">
        <x:v>2026-02-01T00:00:00.000Z</x:v>
      </x:c>
      <x:c r="F6" s="20" t="d">
        <x:v>2026-03-01T00:00:00.000Z</x:v>
      </x:c>
      <x:c r="G6" s="20" t="d">
        <x:v>2026-04-01T00:00:00.000Z</x:v>
      </x:c>
      <x:c r="H6" s="20" t="d">
        <x:v>2026-05-01T00:00:00.000Z</x:v>
      </x:c>
      <x:c r="I6" s="20" t="d">
        <x:v>2026-06-01T00:00:00.000Z</x:v>
      </x:c>
      <x:c r="J6" s="20" t="d">
        <x:v>2026-07-01T00:00:00.000Z</x:v>
      </x:c>
      <x:c r="K6" s="20" t="d">
        <x:v>2026-08-01T00:00:00.000Z</x:v>
      </x:c>
      <x:c r="L6" s="20" t="d">
        <x:v>2026-09-01T00:00:00.000Z</x:v>
      </x:c>
      <x:c r="M6" s="20" t="d">
        <x:v>2026-10-01T00:00:00.000Z</x:v>
      </x:c>
      <x:c r="N6" s="20" t="d">
        <x:v>2026-11-01T00:00:00.000Z</x:v>
      </x:c>
      <x:c r="O6" s="20" t="d">
        <x:v>2026-12-01T00:00:00.000Z</x:v>
      </x:c>
    </x:row>
    <x:row r="7" ht="22" customHeight="1">
      <x:c r="A7" s="1"/>
      <x:c r="B7" s="1"/>
      <x:c r="C7" s="1" t="str">
        <x:v>Revenue</x:v>
      </x:c>
      <x:c r="D7" s="27" t="n">
        <x:f>SUMIFS('Detail'!$J$7:$J$42,'Detail'!$C$7:$C$42,D$6)</x:f>
        <x:v>791671.1200000001</x:v>
      </x:c>
      <x:c r="E7" s="27" t="n">
        <x:f>SUMIFS('Detail'!$J$7:$J$42,'Detail'!$C$7:$C$42,E$6)</x:f>
        <x:v>780722.73</x:v>
      </x:c>
      <x:c r="F7" s="27" t="n">
        <x:f>SUMIFS('Detail'!$J$7:$J$42,'Detail'!$C$7:$C$42,F$6)</x:f>
        <x:v>854894</x:v>
      </x:c>
      <x:c r="G7" s="27" t="n">
        <x:f>SUMIFS('Detail'!$J$7:$J$42,'Detail'!$C$7:$C$42,G$6)</x:f>
        <x:v>844013.8799999999</x:v>
      </x:c>
      <x:c r="H7" s="27" t="n">
        <x:f>SUMIFS('Detail'!$J$7:$J$42,'Detail'!$C$7:$C$42,H$6)</x:f>
        <x:v>885603.54</x:v>
      </x:c>
      <x:c r="I7" s="27" t="n">
        <x:f>SUMIFS('Detail'!$J$7:$J$42,'Detail'!$C$7:$C$42,I$6)</x:f>
        <x:v>874714.5199999999</x:v>
      </x:c>
      <x:c r="J7" s="27" t="n">
        <x:f>SUMIFS('Detail'!$J$7:$J$42,'Detail'!$C$7:$C$42,J$6)</x:f>
        <x:v>910447.8928</x:v>
      </x:c>
      <x:c r="K7" s="27" t="n">
        <x:f>SUMIFS('Detail'!$J$7:$J$42,'Detail'!$C$7:$C$42,K$6)</x:f>
        <x:v>965634.71293132</x:v>
      </x:c>
      <x:c r="L7" s="27" t="n">
        <x:f>SUMIFS('Detail'!$J$7:$J$42,'Detail'!$C$7:$C$42,L$6)</x:f>
        <x:v>965846.2469509438</x:v>
      </x:c>
      <x:c r="M7" s="27" t="n">
        <x:f>SUMIFS('Detail'!$J$7:$J$42,'Detail'!$C$7:$C$42,M$6)</x:f>
        <x:v>1063956.4777685371</x:v>
      </x:c>
      <x:c r="N7" s="27" t="n">
        <x:f>SUMIFS('Detail'!$J$7:$J$42,'Detail'!$C$7:$C$42,N$6)</x:f>
        <x:v>1146725.4969682184</x:v>
      </x:c>
      <x:c r="O7" s="27" t="n">
        <x:f>SUMIFS('Detail'!$J$7:$J$42,'Detail'!$C$7:$C$42,O$6)</x:f>
        <x:v>1223869.8783387616</x:v>
      </x:c>
    </x:row>
    <x:row r="8" ht="22" customHeight="1">
      <x:c r="A8" s="1"/>
      <x:c r="B8" s="1"/>
      <x:c r="C8" s="1" t="str">
        <x:v>Variable cost</x:v>
      </x:c>
      <x:c r="D8" s="27" t="n">
        <x:f>SUMIFS('Detail'!$K$7:$K$42,'Detail'!$C$7:$C$42,D$6)</x:f>
        <x:v>427136.87</x:v>
      </x:c>
      <x:c r="E8" s="27" t="n">
        <x:f>SUMIFS('Detail'!$K$7:$K$42,'Detail'!$C$7:$C$42,E$6)</x:f>
        <x:v>421447.47000000003</x:v>
      </x:c>
      <x:c r="F8" s="27" t="n">
        <x:f>SUMIFS('Detail'!$K$7:$K$42,'Detail'!$C$7:$C$42,F$6)</x:f>
        <x:v>461716.62</x:v>
      </x:c>
      <x:c r="G8" s="27" t="n">
        <x:f>SUMIFS('Detail'!$K$7:$K$42,'Detail'!$C$7:$C$42,G$6)</x:f>
        <x:v>456065.98</x:v>
      </x:c>
      <x:c r="H8" s="27" t="n">
        <x:f>SUMIFS('Detail'!$K$7:$K$42,'Detail'!$C$7:$C$42,H$6)</x:f>
        <x:v>478778.38</x:v>
      </x:c>
      <x:c r="I8" s="27" t="n">
        <x:f>SUMIFS('Detail'!$K$7:$K$42,'Detail'!$C$7:$C$42,I$6)</x:f>
        <x:v>473146.18</x:v>
      </x:c>
      <x:c r="J8" s="27" t="n">
        <x:f>SUMIFS('Detail'!$K$7:$K$42,'Detail'!$C$7:$C$42,J$6)</x:f>
        <x:v>495857.2799999999</x:v>
      </x:c>
      <x:c r="K8" s="27" t="n">
        <x:f>SUMIFS('Detail'!$K$7:$K$42,'Detail'!$C$7:$C$42,K$6)</x:f>
        <x:v>529540.9504375</x:v>
      </x:c>
      <x:c r="L8" s="27" t="n">
        <x:f>SUMIFS('Detail'!$K$7:$K$42,'Detail'!$C$7:$C$42,L$6)</x:f>
        <x:v>533321.9622759373</x:v>
      </x:c>
      <x:c r="M8" s="27" t="n">
        <x:f>SUMIFS('Detail'!$K$7:$K$42,'Detail'!$C$7:$C$42,M$6)</x:f>
        <x:v>591505.4678485779</x:v>
      </x:c>
      <x:c r="N8" s="27" t="n">
        <x:f>SUMIFS('Detail'!$K$7:$K$42,'Detail'!$C$7:$C$42,N$6)</x:f>
        <x:v>641920.9002589112</x:v>
      </x:c>
      <x:c r="O8" s="27" t="n">
        <x:f>SUMIFS('Detail'!$K$7:$K$42,'Detail'!$C$7:$C$42,O$6)</x:f>
        <x:v>689814.0344479048</x:v>
      </x:c>
    </x:row>
    <x:row r="9" ht="22" customHeight="1">
      <x:c r="A9" s="1"/>
      <x:c r="B9" s="1"/>
      <x:c r="C9" s="1" t="str">
        <x:v>Fixed cost</x:v>
      </x:c>
      <x:c r="D9" s="27" t="n">
        <x:f>SUMIFS('Detail'!$H$7:$H$42,'Detail'!$C$7:$C$42,D$6)</x:f>
        <x:v>207207</x:v>
      </x:c>
      <x:c r="E9" s="27" t="n">
        <x:f>SUMIFS('Detail'!$H$7:$H$42,'Detail'!$C$7:$C$42,E$6)</x:f>
        <x:v>207414</x:v>
      </x:c>
      <x:c r="F9" s="27" t="n">
        <x:f>SUMIFS('Detail'!$H$7:$H$42,'Detail'!$C$7:$C$42,F$6)</x:f>
        <x:v>207621</x:v>
      </x:c>
      <x:c r="G9" s="27" t="n">
        <x:f>SUMIFS('Detail'!$H$7:$H$42,'Detail'!$C$7:$C$42,G$6)</x:f>
        <x:v>207828</x:v>
      </x:c>
      <x:c r="H9" s="27" t="n">
        <x:f>SUMIFS('Detail'!$H$7:$H$42,'Detail'!$C$7:$C$42,H$6)</x:f>
        <x:v>208035</x:v>
      </x:c>
      <x:c r="I9" s="27" t="n">
        <x:f>SUMIFS('Detail'!$H$7:$H$42,'Detail'!$C$7:$C$42,I$6)</x:f>
        <x:v>208242</x:v>
      </x:c>
      <x:c r="J9" s="27" t="n">
        <x:f>SUMIFS('Detail'!$H$7:$H$42,'Detail'!$C$7:$C$42,J$6)</x:f>
        <x:v>210272.92874999996</x:v>
      </x:c>
      <x:c r="K9" s="27" t="n">
        <x:f>SUMIFS('Detail'!$H$7:$H$42,'Detail'!$C$7:$C$42,K$6)</x:f>
        <x:v>212323.45522500004</x:v>
      </x:c>
      <x:c r="L9" s="27" t="n">
        <x:f>SUMIFS('Detail'!$H$7:$H$42,'Detail'!$C$7:$C$42,L$6)</x:f>
        <x:v>214393.76689220505</x:v>
      </x:c>
      <x:c r="M9" s="27" t="n">
        <x:f>SUMIFS('Detail'!$H$7:$H$42,'Detail'!$C$7:$C$42,M$6)</x:f>
        <x:v>216484.05299904558</x:v>
      </x:c>
      <x:c r="N9" s="27" t="n">
        <x:f>SUMIFS('Detail'!$H$7:$H$42,'Detail'!$C$7:$C$42,N$6)</x:f>
        <x:v>218594.50458997808</x:v>
      </x:c>
      <x:c r="O9" s="27" t="n">
        <x:f>SUMIFS('Detail'!$H$7:$H$42,'Detail'!$C$7:$C$42,O$6)</x:f>
        <x:v>220725.31452344428</x:v>
      </x:c>
    </x:row>
    <x:row r="10" ht="22" customHeight="1">
      <x:c r="A10" s="1"/>
      <x:c r="B10" s="1"/>
      <x:c r="C10" s="1" t="str">
        <x:v>Opex</x:v>
      </x:c>
      <x:c r="D10" s="27" t="n">
        <x:f>SUMIFS('Detail'!$I$7:$I$42,'Detail'!$C$7:$C$42,D$6)</x:f>
        <x:v>194388</x:v>
      </x:c>
      <x:c r="E10" s="27" t="n">
        <x:f>SUMIFS('Detail'!$I$7:$I$42,'Detail'!$C$7:$C$42,E$6)</x:f>
        <x:v>194776</x:v>
      </x:c>
      <x:c r="F10" s="27" t="n">
        <x:f>SUMIFS('Detail'!$I$7:$I$42,'Detail'!$C$7:$C$42,F$6)</x:f>
        <x:v>195164</x:v>
      </x:c>
      <x:c r="G10" s="27" t="n">
        <x:f>SUMIFS('Detail'!$I$7:$I$42,'Detail'!$C$7:$C$42,G$6)</x:f>
        <x:v>195552</x:v>
      </x:c>
      <x:c r="H10" s="27" t="n">
        <x:f>SUMIFS('Detail'!$I$7:$I$42,'Detail'!$C$7:$C$42,H$6)</x:f>
        <x:v>195940</x:v>
      </x:c>
      <x:c r="I10" s="27" t="n">
        <x:f>SUMIFS('Detail'!$I$7:$I$42,'Detail'!$C$7:$C$42,I$6)</x:f>
        <x:v>196328</x:v>
      </x:c>
      <x:c r="J10" s="27" t="n">
        <x:f>SUMIFS('Detail'!$I$7:$I$42,'Detail'!$C$7:$C$42,J$6)</x:f>
        <x:v>200650.32</x:v>
      </x:c>
      <x:c r="K10" s="27" t="n">
        <x:f>SUMIFS('Detail'!$I$7:$I$42,'Detail'!$C$7:$C$42,K$6)</x:f>
        <x:v>205067.0016</x:v>
      </x:c>
      <x:c r="L10" s="27" t="n">
        <x:f>SUMIFS('Detail'!$I$7:$I$42,'Detail'!$C$7:$C$42,L$6)</x:f>
        <x:v>209580.09033600002</x:v>
      </x:c>
      <x:c r="M10" s="27" t="n">
        <x:f>SUMIFS('Detail'!$I$7:$I$42,'Detail'!$C$7:$C$42,M$6)</x:f>
        <x:v>214191.6758208</x:v>
      </x:c>
      <x:c r="N10" s="27" t="n">
        <x:f>SUMIFS('Detail'!$I$7:$I$42,'Detail'!$C$7:$C$42,N$6)</x:f>
        <x:v>218903.89268885762</x:v>
      </x:c>
      <x:c r="O10" s="27" t="n">
        <x:f>SUMIFS('Detail'!$I$7:$I$42,'Detail'!$C$7:$C$42,O$6)</x:f>
        <x:v>223718.9215613092</x:v>
      </x:c>
    </x:row>
    <x:row r="11" ht="22" customHeight="1">
      <x:c r="A11" s="1"/>
      <x:c r="B11" s="1"/>
      <x:c r="C11" s="1" t="str">
        <x:v>EBITDA</x:v>
      </x:c>
      <x:c r="D11" s="27" t="n">
        <x:f>SUMIFS('Detail'!$L$7:$L$42,'Detail'!$C$7:$C$42,D$6)</x:f>
        <x:v>-37060.74999999997</x:v>
      </x:c>
      <x:c r="E11" s="27" t="n">
        <x:f>SUMIFS('Detail'!$L$7:$L$42,'Detail'!$C$7:$C$42,E$6)</x:f>
        <x:v>-42914.73999999993</x:v>
      </x:c>
      <x:c r="F11" s="27" t="n">
        <x:f>SUMIFS('Detail'!$L$7:$L$42,'Detail'!$C$7:$C$42,F$6)</x:f>
        <x:v>-9607.620000000112</x:v>
      </x:c>
      <x:c r="G11" s="27" t="n">
        <x:f>SUMIFS('Detail'!$L$7:$L$42,'Detail'!$C$7:$C$42,G$6)</x:f>
        <x:v>-15432.100000000006</x:v>
      </x:c>
      <x:c r="H11" s="27" t="n">
        <x:f>SUMIFS('Detail'!$L$7:$L$42,'Detail'!$C$7:$C$42,H$6)</x:f>
        <x:v>2850.1600000000035</x:v>
      </x:c>
      <x:c r="I11" s="27" t="n">
        <x:f>SUMIFS('Detail'!$L$7:$L$42,'Detail'!$C$7:$C$42,I$6)</x:f>
        <x:v>-3001.660000000091</x:v>
      </x:c>
      <x:c r="J11" s="27" t="n">
        <x:f>SUMIFS('Detail'!$L$7:$L$42,'Detail'!$C$7:$C$42,J$6)</x:f>
        <x:v>3667.364050000062</x:v>
      </x:c>
      <x:c r="K11" s="27" t="n">
        <x:f>SUMIFS('Detail'!$L$7:$L$42,'Detail'!$C$7:$C$42,K$6)</x:f>
        <x:v>18703.305668819987</x:v>
      </x:c>
      <x:c r="L11" s="27" t="n">
        <x:f>SUMIFS('Detail'!$L$7:$L$42,'Detail'!$C$7:$C$42,L$6)</x:f>
        <x:v>8550.427446801477</x:v>
      </x:c>
      <x:c r="M11" s="27" t="n">
        <x:f>SUMIFS('Detail'!$L$7:$L$42,'Detail'!$C$7:$C$42,M$6)</x:f>
        <x:v>41775.28110011376</x:v>
      </x:c>
      <x:c r="N11" s="27" t="n">
        <x:f>SUMIFS('Detail'!$L$7:$L$42,'Detail'!$C$7:$C$42,N$6)</x:f>
        <x:v>67306.19943047158</x:v>
      </x:c>
      <x:c r="O11" s="27" t="n">
        <x:f>SUMIFS('Detail'!$L$7:$L$42,'Detail'!$C$7:$C$42,O$6)</x:f>
        <x:v>89611.60780610342</x:v>
      </x:c>
    </x:row>
    <x:row r="12" ht="22" customHeight="1">
      <x:c r="A12" s="1"/>
      <x:c r="B12" s="1"/>
      <x:c r="C12" s="1" t="str">
        <x:v>EBITDA margin</x:v>
      </x:c>
      <x:c r="D12" s="8" t="n">
        <x:f>D11/D7</x:f>
        <x:v>-0.04681331561014878</x:v>
      </x:c>
      <x:c r="E12" s="8" t="n">
        <x:f>E11/E7</x:f>
        <x:v>-0.054967965387660654</x:v>
      </x:c>
      <x:c r="F12" s="8" t="n">
        <x:f>F11/F7</x:f>
        <x:v>-0.011238375751847728</x:v>
      </x:c>
      <x:c r="G12" s="8" t="n">
        <x:f>G11/G7</x:f>
        <x:v>-0.01828417798058014</x:v>
      </x:c>
      <x:c r="H12" s="8" t="n">
        <x:f>H11/H7</x:f>
        <x:v>0.003218324985466977</x:v>
      </x:c>
      <x:c r="I12" s="8" t="n">
        <x:f>I11/I7</x:f>
        <x:v>-0.0034315881711899456</x:v>
      </x:c>
      <x:c r="J12" s="8" t="n">
        <x:f>J11/J7</x:f>
        <x:v>0.00402808780052356</x:v>
      </x:c>
      <x:c r="K12" s="8" t="n">
        <x:f>K11/K7</x:f>
        <x:v>0.019368924313049467</x:v>
      </x:c>
      <x:c r="L12" s="8" t="n">
        <x:f>L11/L7</x:f>
        <x:v>0.00885278321864801</x:v>
      </x:c>
      <x:c r="M12" s="8" t="n">
        <x:f>M11/M7</x:f>
        <x:v>0.03926408830907267</x:v>
      </x:c>
      <x:c r="N12" s="8" t="n">
        <x:f>N11/N7</x:f>
        <x:v>0.05869425560730946</x:v>
      </x:c>
      <x:c r="O12" s="8" t="n">
        <x:f>O11/O7</x:f>
        <x:v>0.07321988178002967</x:v>
      </x:c>
    </x:row>
    <x:row r="13" ht="22" customHeight="1">
      <x:c r="A13" s="1"/>
      <x:c r="B13" s="1"/>
      <x:c r="C13" s="1" t="str">
        <x:v>Depreciation</x:v>
      </x:c>
      <x:c r="D13" s="21"/>
      <x:c r="E13" s="21"/>
      <x:c r="F13" s="21"/>
      <x:c r="G13" s="21"/>
      <x:c r="H13" s="21"/>
      <x:c r="I13" s="21"/>
      <x:c r="J13" s="27" t="n">
        <x:f>'Statements'!D14</x:f>
        <x:v>20000</x:v>
      </x:c>
      <x:c r="K13" s="27" t="n">
        <x:f>'Statements'!E14</x:f>
        <x:v>20416.666666666668</x:v>
      </x:c>
      <x:c r="L13" s="27" t="n">
        <x:f>'Statements'!F14</x:f>
        <x:v>20833.333333333332</x:v>
      </x:c>
      <x:c r="M13" s="27" t="n">
        <x:f>'Statements'!G14</x:f>
        <x:v>21250</x:v>
      </x:c>
      <x:c r="N13" s="27" t="n">
        <x:f>'Statements'!H14</x:f>
        <x:v>21666.666666666668</x:v>
      </x:c>
      <x:c r="O13" s="27" t="n">
        <x:f>'Statements'!I14</x:f>
        <x:v>22083.333333333332</x:v>
      </x:c>
    </x:row>
    <x:row r="14" ht="22" customHeight="1">
      <x:c r="A14" s="1"/>
      <x:c r="B14" s="1"/>
      <x:c r="C14" s="1" t="str">
        <x:v>EBIT</x:v>
      </x:c>
      <x:c r="D14" s="21"/>
      <x:c r="E14" s="21"/>
      <x:c r="F14" s="21"/>
      <x:c r="G14" s="21"/>
      <x:c r="H14" s="21"/>
      <x:c r="I14" s="21"/>
      <x:c r="J14" s="27" t="n">
        <x:f>'Statements'!D15</x:f>
        <x:v>-16332.635949999938</x:v>
      </x:c>
      <x:c r="K14" s="27" t="n">
        <x:f>'Statements'!E15</x:f>
        <x:v>-1713.3609978466811</x:v>
      </x:c>
      <x:c r="L14" s="27" t="n">
        <x:f>'Statements'!F15</x:f>
        <x:v>-12282.905886531855</x:v>
      </x:c>
      <x:c r="M14" s="27" t="n">
        <x:f>'Statements'!G15</x:f>
        <x:v>20525.28110011376</x:v>
      </x:c>
      <x:c r="N14" s="27" t="n">
        <x:f>'Statements'!H15</x:f>
        <x:v>45639.532763804906</x:v>
      </x:c>
      <x:c r="O14" s="27" t="n">
        <x:f>'Statements'!I15</x:f>
        <x:v>67528.27447277009</x:v>
      </x:c>
    </x:row>
    <x:row r="15" ht="22" customHeight="1">
      <x:c r="A15" s="1"/>
      <x:c r="B15" s="1"/>
      <x:c r="C15" s="1" t="str">
        <x:v>Cash taxes</x:v>
      </x:c>
      <x:c r="D15" s="21"/>
      <x:c r="E15" s="21"/>
      <x:c r="F15" s="21"/>
      <x:c r="G15" s="21"/>
      <x:c r="H15" s="21"/>
      <x:c r="I15" s="21"/>
      <x:c r="J15" s="27" t="n">
        <x:f>'Statements'!D21</x:f>
        <x:v>0</x:v>
      </x:c>
      <x:c r="K15" s="27" t="n">
        <x:f>'Statements'!E21</x:f>
        <x:v>0</x:v>
      </x:c>
      <x:c r="L15" s="27" t="n">
        <x:f>'Statements'!F21</x:f>
        <x:v>0</x:v>
      </x:c>
      <x:c r="M15" s="27" t="n">
        <x:f>'Statements'!G21</x:f>
        <x:v>0</x:v>
      </x:c>
      <x:c r="N15" s="27" t="n">
        <x:f>'Statements'!H21</x:f>
        <x:v>4125.644424051714</x:v>
      </x:c>
      <x:c r="O15" s="27" t="n">
        <x:f>'Statements'!I21</x:f>
        <x:v>15965.401951525857</x:v>
      </x:c>
    </x:row>
    <x:row r="16" ht="22" customHeight="1">
      <x:c r="A16" s="1"/>
      <x:c r="B16" s="1"/>
      <x:c r="C16" s="1" t="str">
        <x:v>Receivables</x:v>
      </x:c>
      <x:c r="D16" s="21"/>
      <x:c r="E16" s="21"/>
      <x:c r="F16" s="21"/>
      <x:c r="G16" s="21"/>
      <x:c r="H16" s="21"/>
      <x:c r="I16" s="21"/>
      <x:c r="J16" s="27" t="n">
        <x:f>'Working Capital'!D14</x:f>
        <x:v>1152835.9196000001</x:v>
      </x:c>
      <x:c r="K16" s="27" t="n">
        <x:f>'Working Capital'!E14</x:f>
        <x:v>815270.8239784902</x:v>
      </x:c>
      <x:c r="L16" s="27" t="n">
        <x:f>'Working Capital'!F14</x:f>
        <x:v>820948.1565063401</x:v>
      </x:c>
      <x:c r="M16" s="27" t="n">
        <x:f>'Working Capital'!G14</x:f>
        <x:v>894551.9830214974</x:v>
      </x:c>
      <x:c r="N16" s="27" t="n">
        <x:f>'Working Capital'!H14</x:f>
        <x:v>966439.7705030178</x:v>
      </x:c>
      <x:c r="O16" s="27" t="n">
        <x:f>'Working Capital'!I14</x:f>
        <x:v>1032574.9584508934</x:v>
      </x:c>
    </x:row>
    <x:row r="17" ht="22" customHeight="1">
      <x:c r="A17" s="1"/>
      <x:c r="B17" s="1"/>
      <x:c r="C17" s="1" t="str">
        <x:v>Payables</x:v>
      </x:c>
      <x:c r="D17" s="21"/>
      <x:c r="E17" s="21"/>
      <x:c r="F17" s="21"/>
      <x:c r="G17" s="21"/>
      <x:c r="H17" s="21"/>
      <x:c r="I17" s="21"/>
      <x:c r="J17" s="27" t="n">
        <x:f>'Working Capital'!D22</x:f>
        <x:v>247928.64</x:v>
      </x:c>
      <x:c r="K17" s="27" t="n">
        <x:f>'Working Capital'!E22</x:f>
        <x:v>264770.47521875007</x:v>
      </x:c>
      <x:c r="L17" s="27" t="n">
        <x:f>'Working Capital'!F22</x:f>
        <x:v>266660.9811379687</x:v>
      </x:c>
      <x:c r="M17" s="27" t="n">
        <x:f>'Working Capital'!G22</x:f>
        <x:v>295752.733924289</x:v>
      </x:c>
      <x:c r="N17" s="27" t="n">
        <x:f>'Working Capital'!H22</x:f>
        <x:v>320960.45012945565</x:v>
      </x:c>
      <x:c r="O17" s="27" t="n">
        <x:f>'Working Capital'!I22</x:f>
        <x:v>344907.01722395245</x:v>
      </x:c>
    </x:row>
    <x:row r="18" ht="22" customHeight="1">
      <x:c r="A18" s="1"/>
      <x:c r="B18" s="1"/>
      <x:c r="C18" s="1" t="str">
        <x:v>Change in net working capital</x:v>
      </x:c>
      <x:c r="D18" s="21"/>
      <x:c r="E18" s="21"/>
      <x:c r="F18" s="21"/>
      <x:c r="G18" s="21"/>
      <x:c r="H18" s="21"/>
      <x:c r="I18" s="21"/>
      <x:c r="J18" s="27" t="n">
        <x:f>'Statements'!D29-'Statements'!D30</x:f>
        <x:v>184907.27960000013</x:v>
      </x:c>
      <x:c r="K18" s="27" t="n">
        <x:f>'Statements'!E29-'Statements'!E30</x:f>
        <x:v>-354406.93084026</x:v>
      </x:c>
      <x:c r="L18" s="27" t="n">
        <x:f>'Statements'!F29-'Statements'!F30</x:f>
        <x:v>3786.826608631294</x:v>
      </x:c>
      <x:c r="M18" s="27" t="n">
        <x:f>'Statements'!G29-'Statements'!G30</x:f>
        <x:v>44512.07372883696</x:v>
      </x:c>
      <x:c r="N18" s="27" t="n">
        <x:f>'Statements'!H29-'Statements'!H30</x:f>
        <x:v>46680.07127635379</x:v>
      </x:c>
      <x:c r="O18" s="27" t="n">
        <x:f>'Statements'!I29-'Statements'!I30</x:f>
        <x:v>42188.62085337879</x:v>
      </x:c>
    </x:row>
    <x:row r="19" ht="22" customHeight="1">
      <x:c r="A19" s="1"/>
      <x:c r="B19" s="1"/>
      <x:c r="C19" s="1" t="str">
        <x:v>Cash capex</x:v>
      </x:c>
      <x:c r="D19" s="21"/>
      <x:c r="E19" s="21"/>
      <x:c r="F19" s="21"/>
      <x:c r="G19" s="21"/>
      <x:c r="H19" s="21"/>
      <x:c r="I19" s="21"/>
      <x:c r="J19" s="27" t="n">
        <x:f>'Statements'!D32</x:f>
        <x:v>25000</x:v>
      </x:c>
      <x:c r="K19" s="27" t="n">
        <x:f>'Statements'!E32</x:f>
        <x:v>25000</x:v>
      </x:c>
      <x:c r="L19" s="27" t="n">
        <x:f>'Statements'!F32</x:f>
        <x:v>25000</x:v>
      </x:c>
      <x:c r="M19" s="27" t="n">
        <x:f>'Statements'!G32</x:f>
        <x:v>25000</x:v>
      </x:c>
      <x:c r="N19" s="27" t="n">
        <x:f>'Statements'!H32</x:f>
        <x:v>25000</x:v>
      </x:c>
      <x:c r="O19" s="27" t="n">
        <x:f>'Statements'!I32</x:f>
        <x:v>25000</x:v>
      </x:c>
    </x:row>
    <x:row r="20" ht="22" customHeight="1">
      <x:c r="A20" s="1"/>
      <x:c r="B20" s="1"/>
      <x:c r="C20" s="1" t="str">
        <x:v>Net change in cash after principal</x:v>
      </x:c>
      <x:c r="D20" s="21"/>
      <x:c r="E20" s="21"/>
      <x:c r="F20" s="21"/>
      <x:c r="G20" s="21"/>
      <x:c r="H20" s="21"/>
      <x:c r="I20" s="21"/>
      <x:c r="J20" s="27" t="n">
        <x:f>'Statements'!D34</x:f>
        <x:v>-220239.91555000006</x:v>
      </x:c>
      <x:c r="K20" s="27" t="n">
        <x:f>'Statements'!E34</x:f>
        <x:v>334176.9031757467</x:v>
      </x:c>
      <x:c r="L20" s="27" t="n">
        <x:f>'Statements'!F34</x:f>
        <x:v>-34103.06582849648</x:v>
      </x:c>
      <x:c r="M20" s="27" t="n">
        <x:f>'Statements'!G34</x:f>
        <x:v>-41536.7926287232</x:v>
      </x:c>
      <x:c r="N20" s="27" t="n">
        <x:f>'Statements'!H34</x:f>
        <x:v>-22232.84960326727</x:v>
      </x:c>
      <x:c r="O20" s="27" t="n">
        <x:f>'Statements'!I34</x:f>
        <x:v>-7209.081665467878</x:v>
      </x:c>
    </x:row>
    <x:row r="21" ht="22" customHeight="1">
      <x:c r="A21" s="1"/>
      <x:c r="B21" s="1"/>
      <x:c r="C21" s="1" t="str">
        <x:v>Opening cash</x:v>
      </x:c>
      <x:c r="D21" s="21"/>
      <x:c r="E21" s="21"/>
      <x:c r="F21" s="21"/>
      <x:c r="G21" s="21"/>
      <x:c r="H21" s="21"/>
      <x:c r="I21" s="21"/>
      <x:c r="J21" s="27" t="n">
        <x:f>'Statements'!D26</x:f>
        <x:v>500000</x:v>
      </x:c>
      <x:c r="K21" s="27" t="n">
        <x:f>'Statements'!E26</x:f>
        <x:v>279760.08444999997</x:v>
      </x:c>
      <x:c r="L21" s="27" t="n">
        <x:f>'Statements'!F26</x:f>
        <x:v>613936.9876257466</x:v>
      </x:c>
      <x:c r="M21" s="27" t="n">
        <x:f>'Statements'!G26</x:f>
        <x:v>579833.9217972502</x:v>
      </x:c>
      <x:c r="N21" s="27" t="n">
        <x:f>'Statements'!H26</x:f>
        <x:v>538297.129168527</x:v>
      </x:c>
      <x:c r="O21" s="27" t="n">
        <x:f>'Statements'!I26</x:f>
        <x:v>516064.2795652597</x:v>
      </x:c>
    </x:row>
    <x:row r="22" ht="22" customHeight="1">
      <x:c r="A22" s="1"/>
      <x:c r="B22" s="1"/>
      <x:c r="C22" s="1" t="str">
        <x:v>Ending cash</x:v>
      </x:c>
      <x:c r="D22" s="21"/>
      <x:c r="E22" s="21"/>
      <x:c r="F22" s="21"/>
      <x:c r="G22" s="21"/>
      <x:c r="H22" s="21"/>
      <x:c r="I22" s="21"/>
      <x:c r="J22" s="27" t="n">
        <x:f>'Statements'!D35</x:f>
        <x:v>279760.08444999997</x:v>
      </x:c>
      <x:c r="K22" s="27" t="n">
        <x:f>'Statements'!E35</x:f>
        <x:v>613936.9876257466</x:v>
      </x:c>
      <x:c r="L22" s="27" t="n">
        <x:f>'Statements'!F35</x:f>
        <x:v>579833.9217972502</x:v>
      </x:c>
      <x:c r="M22" s="27" t="n">
        <x:f>'Statements'!G35</x:f>
        <x:v>538297.129168527</x:v>
      </x:c>
      <x:c r="N22" s="27" t="n">
        <x:f>'Statements'!H35</x:f>
        <x:v>516064.2795652597</x:v>
      </x:c>
      <x:c r="O22" s="27" t="n">
        <x:f>'Statements'!I35</x:f>
        <x:v>508855.1978997918</x:v>
      </x:c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2" customHeight="1">
      <x:c r="A25" s="1"/>
      <x:c r="B25" s="1"/>
      <x:c r="C25" s="1" t="str">
        <x:v>Jan-Jun: synthetic history. Cash schedule covers Jul-Dec only.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mergeCells>
    <x:mergeCell ref="D4:F4"/>
    <x:mergeCell ref="C25:K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July EBITDA variance to reference plan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5" hidden="0" customHeight="1">
      <x:c r="A6" s="1"/>
      <x:c r="B6" s="1"/>
      <x:c r="C6" s="14" t="str">
        <x:v>Segment</x:v>
      </x:c>
      <x:c r="D6" s="14" t="str">
        <x:v>Plan units</x:v>
      </x:c>
      <x:c r="E6" s="14" t="str">
        <x:v>Plan price</x:v>
      </x:c>
      <x:c r="F6" s="14" t="str">
        <x:v>Plan unit cost</x:v>
      </x:c>
      <x:c r="G6" s="14" t="str">
        <x:v>Volume</x:v>
      </x:c>
      <x:c r="H6" s="14" t="str">
        <x:v>Price</x:v>
      </x:c>
      <x:c r="I6" s="14" t="str">
        <x:v>Unit cost</x:v>
      </x:c>
      <x:c r="J6" s="14" t="str">
        <x:v>Fixed / opex</x:v>
      </x:c>
      <x:c r="K6" s="14" t="str">
        <x:v>Total variance</x:v>
      </x:c>
      <x:c r="L6" s="14" t="str">
        <x:v>Active EBITDA</x:v>
      </x:c>
    </x:row>
    <x:row r="7" ht="15" hidden="0" customHeight="1">
      <x:c r="A7" s="1"/>
      <x:c r="B7" s="1"/>
      <x:c r="C7" s="5" t="str">
        <x:v>Core</x:v>
      </x:c>
      <x:c r="D7" s="29" t="n">
        <x:f>ROUND('Detail'!E22*1.01,0)</x:f>
        <x:v>921</x:v>
      </x:c>
      <x:c r="E7" s="29" t="n">
        <x:f>'Detail'!F22</x:f>
        <x:v>413.69</x:v>
      </x:c>
      <x:c r="F7" s="29" t="n">
        <x:f>'Detail'!G22</x:f>
        <x:v>250.98</x:v>
      </x:c>
      <x:c r="G7" s="31" t="n">
        <x:f>('Detail'!E25-D7)*(E7-F7)</x:f>
        <x:v>1789.8100000000002</x:v>
      </x:c>
      <x:c r="H7" s="31" t="n">
        <x:f>'Detail'!E25*('Detail'!F25-E7)</x:f>
        <x:v>6940.06343999999</x:v>
      </x:c>
      <x:c r="I7" s="31" t="n">
        <x:f>-'Detail'!E25*('Detail'!G25-F7)</x:f>
        <x:v>-5847.833999999963</x:v>
      </x:c>
      <x:c r="J7" s="31" t="n">
        <x:f>-('Detail'!H25+'Detail'!I25-'Detail'!H22-'Detail'!I22)</x:f>
        <x:v>-2232.28125</x:v>
      </x:c>
      <x:c r="K7" s="32" t="n">
        <x:f>SUM(G7:J7)</x:f>
        <x:v>649.7581900000268</x:v>
      </x:c>
      <x:c r="L7" s="31" t="n">
        <x:f>'Detail'!L25</x:f>
        <x:v>-760.3318099999451</x:v>
      </x:c>
    </x:row>
    <x:row r="8" ht="15" hidden="0" customHeight="1">
      <x:c r="A8" s="1"/>
      <x:c r="B8" s="1"/>
      <x:c r="C8" s="5" t="str">
        <x:v>Enterprise</x:v>
      </x:c>
      <x:c r="D8" s="29" t="n">
        <x:f>ROUND('Detail'!E23*1.01,0)</x:f>
        <x:v>305</x:v>
      </x:c>
      <x:c r="E8" s="29" t="n">
        <x:f>'Detail'!F23</x:f>
        <x:v>1130.08</x:v>
      </x:c>
      <x:c r="F8" s="29" t="n">
        <x:f>'Detail'!G23</x:f>
        <x:v>612.26</x:v>
      </x:c>
      <x:c r="G8" s="31" t="n">
        <x:f>('Detail'!E26-D8)*(E8-F8)</x:f>
        <x:v>2071.2799999999997</x:v>
      </x:c>
      <x:c r="H8" s="31" t="n">
        <x:f>'Detail'!E26*('Detail'!F26-E8)</x:f>
        <x:v>6285.504959999976</x:v>
      </x:c>
      <x:c r="I8" s="31" t="n">
        <x:f>-'Detail'!E26*('Detail'!G26-F8)</x:f>
        <x:v>-4729.708499999973</x:v>
      </x:c>
      <x:c r="J8" s="31" t="n">
        <x:f>-('Detail'!H26+'Detail'!I26-'Detail'!H23-'Detail'!I23)</x:f>
        <x:v>-2572.6149999999907</x:v>
      </x:c>
      <x:c r="K8" s="32" t="n">
        <x:f>SUM(G8:J8)</x:f>
        <x:v>1054.4614600000114</x:v>
      </x:c>
      <x:c r="L8" s="31" t="n">
        <x:f>'Detail'!L26</x:f>
        <x:v>-450.43854000000283</x:v>
      </x:c>
    </x:row>
    <x:row r="9" ht="15" hidden="0" customHeight="1">
      <x:c r="A9" s="1"/>
      <x:c r="B9" s="1"/>
      <x:c r="C9" s="5" t="str">
        <x:v>Services</x:v>
      </x:c>
      <x:c r="D9" s="29" t="n">
        <x:f>ROUND('Detail'!E24*1.01,0)</x:f>
        <x:v>548</x:v>
      </x:c>
      <x:c r="E9" s="29" t="n">
        <x:f>'Detail'!F24</x:f>
        <x:v>287.56</x:v>
      </x:c>
      <x:c r="F9" s="29" t="n">
        <x:f>'Detail'!G24</x:f>
        <x:v>109.3</x:v>
      </x:c>
      <x:c r="G9" s="31" t="n">
        <x:f>('Detail'!E27-D9)*(E9-F9)</x:f>
        <x:v>1247.82</x:v>
      </x:c>
      <x:c r="H9" s="31" t="n">
        <x:f>'Detail'!E27*('Detail'!F27-E9)</x:f>
        <x:v>2872.7244000000073</x:v>
      </x:c>
      <x:c r="I9" s="31" t="n">
        <x:f>-'Detail'!E27*('Detail'!G27-F9)</x:f>
        <x:v>-1516.537499999993</x:v>
      </x:c>
      <x:c r="J9" s="31" t="n">
        <x:f>-('Detail'!H27+'Detail'!I27-'Detail'!H24-'Detail'!I24)</x:f>
        <x:v>-1548.3524999999936</x:v>
      </x:c>
      <x:c r="K9" s="32" t="n">
        <x:f>SUM(G9:J9)</x:f>
        <x:v>1055.6544000000204</x:v>
      </x:c>
      <x:c r="L9" s="31" t="n">
        <x:f>'Detail'!L27</x:f>
        <x:v>4878.13440000001</x:v>
      </x:c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" t="str">
        <x:v>Reference July EBITDA</x:v>
      </x:c>
      <x:c r="D12" s="27" t="n">
        <x:f>SUMPRODUCT(D7:D9,E7:E9)-SUMPRODUCT(D7:D9,F7:F9)-SUM('Detail'!H22:I24)</x:f>
        <x:v>907.4899999998743</x:v>
      </x:c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1" t="str">
        <x:v>Active July EBITDA</x:v>
      </x:c>
      <x:c r="D13" s="27" t="n">
        <x:f>'Monthly'!J11</x:f>
        <x:v>3667.364050000062</x:v>
      </x:c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/>
      <x:c r="B14" s="1"/>
      <x:c r="C14" s="1" t="str">
        <x:v>Total driver variance</x:v>
      </x:c>
      <x:c r="D14" s="28" t="n">
        <x:f>SUM(K7:K9)</x:f>
        <x:v>2759.8740500000586</x:v>
      </x:c>
      <x:c r="E14" s="1"/>
      <x:c r="F14" s="1"/>
      <x:c r="G14" s="1"/>
      <x:c r="H14" s="1"/>
      <x:c r="I14" s="1"/>
      <x:c r="J14" s="1"/>
      <x:c r="K14" s="1"/>
      <x:c r="L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5" t="str">
        <x:v>Reference plan: June unit economics, July seasonality, June fixed/opex.</x:v>
      </x:c>
      <x:c r="D17" s="5"/>
      <x:c r="E17" s="5"/>
      <x:c r="F17" s="5"/>
      <x:c r="G17" s="5"/>
      <x:c r="H17" s="5"/>
      <x:c r="I17" s="5"/>
      <x:c r="J17" s="5"/>
      <x:c r="K17" s="5"/>
      <x:c r="L17" s="5"/>
    </x:row>
    <x:row r="18" ht="22" customHeight="1">
      <x:c r="A18" s="1"/>
      <x:c r="B18" s="1"/>
      <x:c r="C18" s="5"/>
      <x:c r="D18" s="5"/>
      <x:c r="E18" s="5"/>
      <x:c r="F18" s="5"/>
      <x:c r="G18" s="5"/>
      <x:c r="H18" s="5"/>
      <x:c r="I18" s="5"/>
      <x:c r="J18" s="5"/>
      <x:c r="K18" s="5"/>
      <x:c r="L18" s="5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D4:F4"/>
    <x:mergeCell ref="C17:L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1"/>
      <x:c r="B2" s="1"/>
      <x:c r="C2" s="2" t="str">
        <x:v>Synthetic H1 source records</x:v>
      </x:c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15" hidden="0" customHeight="1">
      <x:c r="A6" s="1"/>
      <x:c r="B6" s="1"/>
      <x:c r="C6" s="14" t="str">
        <x:v>Month</x:v>
      </x:c>
      <x:c r="D6" s="14" t="str">
        <x:v>Segment</x:v>
      </x:c>
      <x:c r="E6" s="14" t="str">
        <x:v>Units</x:v>
      </x:c>
      <x:c r="F6" s="14" t="str">
        <x:v>Price / unit</x:v>
      </x:c>
      <x:c r="G6" s="14" t="str">
        <x:v>Variable cost / unit</x:v>
      </x:c>
      <x:c r="H6" s="14" t="str">
        <x:v>Fixed cost</x:v>
      </x:c>
      <x:c r="I6" s="14" t="str">
        <x:v>Opex</x:v>
      </x:c>
      <x:c r="J6" s="1"/>
    </x:row>
    <x:row r="7" ht="15" hidden="0" customHeight="1">
      <x:c r="A7" s="1"/>
      <x:c r="B7" s="1"/>
      <x:c r="C7" s="16" t="d">
        <x:v>2026-01-01T00:00:00.000Z</x:v>
      </x:c>
      <x:c r="D7" s="5" t="str">
        <x:v>Core</x:v>
      </x:c>
      <x:c r="E7" s="17" t="n">
        <x:v>832</x:v>
      </x:c>
      <x:c r="F7" s="18" t="n">
        <x:v>410.62</x:v>
      </x:c>
      <x:c r="G7" s="18" t="n">
        <x:v>248.5</x:v>
      </x:c>
      <x:c r="H7" s="17" t="n">
        <x:v>89089</x:v>
      </x:c>
      <x:c r="I7" s="17" t="n">
        <x:v>61122</x:v>
      </x:c>
      <x:c r="J7" s="1"/>
    </x:row>
    <x:row r="8" ht="15" hidden="0" customHeight="1">
      <x:c r="A8" s="1"/>
      <x:c r="B8" s="1"/>
      <x:c r="C8" s="16" t="d">
        <x:v>2026-01-01T00:00:00.000Z</x:v>
      </x:c>
      <x:c r="D8" s="5" t="str">
        <x:v>Enterprise</x:v>
      </x:c>
      <x:c r="E8" s="17" t="n">
        <x:v>275</x:v>
      </x:c>
      <x:c r="F8" s="18" t="n">
        <x:v>1121.68</x:v>
      </x:c>
      <x:c r="G8" s="18" t="n">
        <x:v>606.21</x:v>
      </x:c>
      <x:c r="H8" s="17" t="n">
        <x:v>76076</x:v>
      </x:c>
      <x:c r="I8" s="17" t="n">
        <x:v>82164</x:v>
      </x:c>
      <x:c r="J8" s="1"/>
    </x:row>
    <x:row r="9" ht="15" hidden="0" customHeight="1">
      <x:c r="A9" s="1"/>
      <x:c r="B9" s="1"/>
      <x:c r="C9" s="16" t="d">
        <x:v>2026-01-01T00:00:00.000Z</x:v>
      </x:c>
      <x:c r="D9" s="5" t="str">
        <x:v>Services</x:v>
      </x:c>
      <x:c r="E9" s="17" t="n">
        <x:v>496</x:v>
      </x:c>
      <x:c r="F9" s="18" t="n">
        <x:v>285.43</x:v>
      </x:c>
      <x:c r="G9" s="18" t="n">
        <x:v>108.22</x:v>
      </x:c>
      <x:c r="H9" s="17" t="n">
        <x:v>42042</x:v>
      </x:c>
      <x:c r="I9" s="17" t="n">
        <x:v>51102</x:v>
      </x:c>
      <x:c r="J9" s="1"/>
    </x:row>
    <x:row r="10" ht="15" hidden="0" customHeight="1">
      <x:c r="A10" s="1"/>
      <x:c r="B10" s="1"/>
      <x:c r="C10" s="16" t="d">
        <x:v>2026-02-01T00:00:00.000Z</x:v>
      </x:c>
      <x:c r="D10" s="5" t="str">
        <x:v>Core</x:v>
      </x:c>
      <x:c r="E10" s="17" t="n">
        <x:v>819</x:v>
      </x:c>
      <x:c r="F10" s="18" t="n">
        <x:v>411.23</x:v>
      </x:c>
      <x:c r="G10" s="18" t="n">
        <x:v>248.99</x:v>
      </x:c>
      <x:c r="H10" s="17" t="n">
        <x:v>89178</x:v>
      </x:c>
      <x:c r="I10" s="17" t="n">
        <x:v>61244</x:v>
      </x:c>
      <x:c r="J10" s="1"/>
    </x:row>
    <x:row r="11" ht="15" hidden="0" customHeight="1">
      <x:c r="A11" s="1"/>
      <x:c r="B11" s="1"/>
      <x:c r="C11" s="16" t="d">
        <x:v>2026-02-01T00:00:00.000Z</x:v>
      </x:c>
      <x:c r="D11" s="5" t="str">
        <x:v>Enterprise</x:v>
      </x:c>
      <x:c r="E11" s="17" t="n">
        <x:v>271</x:v>
      </x:c>
      <x:c r="F11" s="18" t="n">
        <x:v>1123.36</x:v>
      </x:c>
      <x:c r="G11" s="18" t="n">
        <x:v>607.42</x:v>
      </x:c>
      <x:c r="H11" s="17" t="n">
        <x:v>76152</x:v>
      </x:c>
      <x:c r="I11" s="17" t="n">
        <x:v>82328</x:v>
      </x:c>
      <x:c r="J11" s="1"/>
    </x:row>
    <x:row r="12" ht="15" hidden="0" customHeight="1">
      <x:c r="A12" s="1"/>
      <x:c r="B12" s="1"/>
      <x:c r="C12" s="16" t="d">
        <x:v>2026-02-01T00:00:00.000Z</x:v>
      </x:c>
      <x:c r="D12" s="5" t="str">
        <x:v>Services</x:v>
      </x:c>
      <x:c r="E12" s="17" t="n">
        <x:v>488</x:v>
      </x:c>
      <x:c r="F12" s="18" t="n">
        <x:v>285.85</x:v>
      </x:c>
      <x:c r="G12" s="18" t="n">
        <x:v>108.43</x:v>
      </x:c>
      <x:c r="H12" s="17" t="n">
        <x:v>42084</x:v>
      </x:c>
      <x:c r="I12" s="17" t="n">
        <x:v>51204</x:v>
      </x:c>
      <x:c r="J12" s="1"/>
    </x:row>
    <x:row r="13" ht="15" hidden="0" customHeight="1">
      <x:c r="A13" s="1"/>
      <x:c r="B13" s="1"/>
      <x:c r="C13" s="16" t="d">
        <x:v>2026-03-01T00:00:00.000Z</x:v>
      </x:c>
      <x:c r="D13" s="5" t="str">
        <x:v>Core</x:v>
      </x:c>
      <x:c r="E13" s="17" t="n">
        <x:v>896</x:v>
      </x:c>
      <x:c r="F13" s="18" t="n">
        <x:v>411.84</x:v>
      </x:c>
      <x:c r="G13" s="18" t="n">
        <x:v>249.49</x:v>
      </x:c>
      <x:c r="H13" s="17" t="n">
        <x:v>89267</x:v>
      </x:c>
      <x:c r="I13" s="17" t="n">
        <x:v>61366</x:v>
      </x:c>
      <x:c r="J13" s="1"/>
    </x:row>
    <x:row r="14" ht="15" hidden="0" customHeight="1">
      <x:c r="A14" s="1"/>
      <x:c r="B14" s="1"/>
      <x:c r="C14" s="16" t="d">
        <x:v>2026-03-01T00:00:00.000Z</x:v>
      </x:c>
      <x:c r="D14" s="5" t="str">
        <x:v>Enterprise</x:v>
      </x:c>
      <x:c r="E14" s="17" t="n">
        <x:v>296</x:v>
      </x:c>
      <x:c r="F14" s="18" t="n">
        <x:v>1125.04</x:v>
      </x:c>
      <x:c r="G14" s="18" t="n">
        <x:v>608.63</x:v>
      </x:c>
      <x:c r="H14" s="17" t="n">
        <x:v>76228</x:v>
      </x:c>
      <x:c r="I14" s="17" t="n">
        <x:v>82492</x:v>
      </x:c>
      <x:c r="J14" s="1"/>
    </x:row>
    <x:row r="15" ht="15" hidden="0" customHeight="1">
      <x:c r="A15" s="1"/>
      <x:c r="B15" s="1"/>
      <x:c r="C15" s="16" t="d">
        <x:v>2026-03-01T00:00:00.000Z</x:v>
      </x:c>
      <x:c r="D15" s="5" t="str">
        <x:v>Services</x:v>
      </x:c>
      <x:c r="E15" s="17" t="n">
        <x:v>534</x:v>
      </x:c>
      <x:c r="F15" s="18" t="n">
        <x:v>286.28</x:v>
      </x:c>
      <x:c r="G15" s="18" t="n">
        <x:v>108.65</x:v>
      </x:c>
      <x:c r="H15" s="17" t="n">
        <x:v>42126</x:v>
      </x:c>
      <x:c r="I15" s="17" t="n">
        <x:v>51306</x:v>
      </x:c>
      <x:c r="J15" s="1"/>
    </x:row>
    <x:row r="16" ht="15" hidden="0" customHeight="1">
      <x:c r="A16" s="1"/>
      <x:c r="B16" s="1"/>
      <x:c r="C16" s="16" t="d">
        <x:v>2026-04-01T00:00:00.000Z</x:v>
      </x:c>
      <x:c r="D16" s="5" t="str">
        <x:v>Core</x:v>
      </x:c>
      <x:c r="E16" s="17" t="n">
        <x:v>883</x:v>
      </x:c>
      <x:c r="F16" s="18" t="n">
        <x:v>412.46</x:v>
      </x:c>
      <x:c r="G16" s="18" t="n">
        <x:v>249.98</x:v>
      </x:c>
      <x:c r="H16" s="17" t="n">
        <x:v>89356</x:v>
      </x:c>
      <x:c r="I16" s="17" t="n">
        <x:v>61488</x:v>
      </x:c>
      <x:c r="J16" s="1"/>
    </x:row>
    <x:row r="17" ht="15" hidden="0" customHeight="1">
      <x:c r="A17" s="1"/>
      <x:c r="B17" s="1"/>
      <x:c r="C17" s="16" t="d">
        <x:v>2026-04-01T00:00:00.000Z</x:v>
      </x:c>
      <x:c r="D17" s="5" t="str">
        <x:v>Enterprise</x:v>
      </x:c>
      <x:c r="E17" s="17" t="n">
        <x:v>292</x:v>
      </x:c>
      <x:c r="F17" s="18" t="n">
        <x:v>1126.72</x:v>
      </x:c>
      <x:c r="G17" s="18" t="n">
        <x:v>609.84</x:v>
      </x:c>
      <x:c r="H17" s="17" t="n">
        <x:v>76304</x:v>
      </x:c>
      <x:c r="I17" s="17" t="n">
        <x:v>82656</x:v>
      </x:c>
      <x:c r="J17" s="1"/>
    </x:row>
    <x:row r="18" ht="15" hidden="0" customHeight="1">
      <x:c r="A18" s="1"/>
      <x:c r="B18" s="1"/>
      <x:c r="C18" s="16" t="d">
        <x:v>2026-04-01T00:00:00.000Z</x:v>
      </x:c>
      <x:c r="D18" s="5" t="str">
        <x:v>Services</x:v>
      </x:c>
      <x:c r="E18" s="17" t="n">
        <x:v>526</x:v>
      </x:c>
      <x:c r="F18" s="18" t="n">
        <x:v>286.71</x:v>
      </x:c>
      <x:c r="G18" s="18" t="n">
        <x:v>108.86</x:v>
      </x:c>
      <x:c r="H18" s="17" t="n">
        <x:v>42168</x:v>
      </x:c>
      <x:c r="I18" s="17" t="n">
        <x:v>51408</x:v>
      </x:c>
      <x:c r="J18" s="1"/>
    </x:row>
    <x:row r="19" ht="15" hidden="0" customHeight="1">
      <x:c r="A19" s="1"/>
      <x:c r="B19" s="1"/>
      <x:c r="C19" s="16" t="d">
        <x:v>2026-05-01T00:00:00.000Z</x:v>
      </x:c>
      <x:c r="D19" s="5" t="str">
        <x:v>Core</x:v>
      </x:c>
      <x:c r="E19" s="17" t="n">
        <x:v>925</x:v>
      </x:c>
      <x:c r="F19" s="18" t="n">
        <x:v>413.08</x:v>
      </x:c>
      <x:c r="G19" s="18" t="n">
        <x:v>250.48</x:v>
      </x:c>
      <x:c r="H19" s="17" t="n">
        <x:v>89445</x:v>
      </x:c>
      <x:c r="I19" s="17" t="n">
        <x:v>61610</x:v>
      </x:c>
      <x:c r="J19" s="1"/>
    </x:row>
    <x:row r="20" ht="15" hidden="0" customHeight="1">
      <x:c r="A20" s="1"/>
      <x:c r="B20" s="1"/>
      <x:c r="C20" s="16" t="d">
        <x:v>2026-05-01T00:00:00.000Z</x:v>
      </x:c>
      <x:c r="D20" s="5" t="str">
        <x:v>Enterprise</x:v>
      </x:c>
      <x:c r="E20" s="17" t="n">
        <x:v>306</x:v>
      </x:c>
      <x:c r="F20" s="18" t="n">
        <x:v>1128.4</x:v>
      </x:c>
      <x:c r="G20" s="18" t="n">
        <x:v>611.05</x:v>
      </x:c>
      <x:c r="H20" s="17" t="n">
        <x:v>76380</x:v>
      </x:c>
      <x:c r="I20" s="17" t="n">
        <x:v>82820</x:v>
      </x:c>
      <x:c r="J20" s="1"/>
    </x:row>
    <x:row r="21" ht="15" hidden="0" customHeight="1">
      <x:c r="A21" s="1"/>
      <x:c r="B21" s="1"/>
      <x:c r="C21" s="16" t="d">
        <x:v>2026-05-01T00:00:00.000Z</x:v>
      </x:c>
      <x:c r="D21" s="5" t="str">
        <x:v>Services</x:v>
      </x:c>
      <x:c r="E21" s="17" t="n">
        <x:v>551</x:v>
      </x:c>
      <x:c r="F21" s="18" t="n">
        <x:v>287.14</x:v>
      </x:c>
      <x:c r="G21" s="18" t="n">
        <x:v>109.08</x:v>
      </x:c>
      <x:c r="H21" s="17" t="n">
        <x:v>42210</x:v>
      </x:c>
      <x:c r="I21" s="17" t="n">
        <x:v>51510</x:v>
      </x:c>
      <x:c r="J21" s="1"/>
    </x:row>
    <x:row r="22" ht="15" hidden="0" customHeight="1">
      <x:c r="A22" s="1"/>
      <x:c r="B22" s="1"/>
      <x:c r="C22" s="16" t="d">
        <x:v>2026-06-01T00:00:00.000Z</x:v>
      </x:c>
      <x:c r="D22" s="5" t="str">
        <x:v>Core</x:v>
      </x:c>
      <x:c r="E22" s="17" t="n">
        <x:v>912</x:v>
      </x:c>
      <x:c r="F22" s="18" t="n">
        <x:v>413.69</x:v>
      </x:c>
      <x:c r="G22" s="18" t="n">
        <x:v>250.98</x:v>
      </x:c>
      <x:c r="H22" s="17" t="n">
        <x:v>89534</x:v>
      </x:c>
      <x:c r="I22" s="17" t="n">
        <x:v>61732</x:v>
      </x:c>
      <x:c r="J22" s="1"/>
    </x:row>
    <x:row r="23" ht="15" hidden="0" customHeight="1">
      <x:c r="A23" s="1"/>
      <x:c r="B23" s="1"/>
      <x:c r="C23" s="16" t="d">
        <x:v>2026-06-01T00:00:00.000Z</x:v>
      </x:c>
      <x:c r="D23" s="5" t="str">
        <x:v>Enterprise</x:v>
      </x:c>
      <x:c r="E23" s="17" t="n">
        <x:v>302</x:v>
      </x:c>
      <x:c r="F23" s="18" t="n">
        <x:v>1130.08</x:v>
      </x:c>
      <x:c r="G23" s="18" t="n">
        <x:v>612.26</x:v>
      </x:c>
      <x:c r="H23" s="17" t="n">
        <x:v>76456</x:v>
      </x:c>
      <x:c r="I23" s="17" t="n">
        <x:v>82984</x:v>
      </x:c>
      <x:c r="J23" s="1"/>
    </x:row>
    <x:row r="24" ht="15" hidden="0" customHeight="1">
      <x:c r="A24" s="1"/>
      <x:c r="B24" s="1"/>
      <x:c r="C24" s="16" t="d">
        <x:v>2026-06-01T00:00:00.000Z</x:v>
      </x:c>
      <x:c r="D24" s="5" t="str">
        <x:v>Services</x:v>
      </x:c>
      <x:c r="E24" s="17" t="n">
        <x:v>543</x:v>
      </x:c>
      <x:c r="F24" s="18" t="n">
        <x:v>287.56</x:v>
      </x:c>
      <x:c r="G24" s="18" t="n">
        <x:v>109.3</x:v>
      </x:c>
      <x:c r="H24" s="17" t="n">
        <x:v>42252</x:v>
      </x:c>
      <x:c r="I24" s="17" t="n">
        <x:v>51612</x:v>
      </x:c>
      <x:c r="J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2" customHeight="1">
      <x:c r="A27" s="1"/>
      <x:c r="B27" s="1"/>
      <x:c r="C27" s="5" t="str">
        <x:v>Source: existing fpa-forecast-scenario-planning synthetic_actuals_h1.csv.</x:v>
      </x:c>
      <x:c r="D27" s="5"/>
      <x:c r="E27" s="5"/>
      <x:c r="F27" s="5"/>
      <x:c r="G27" s="5"/>
      <x:c r="H27" s="5"/>
      <x:c r="I27" s="5"/>
      <x:c r="J27" s="5"/>
      <x:c r="K27" s="19"/>
    </x:row>
    <x:row r="28" ht="22" customHeight="1">
      <x:c r="A28" s="1"/>
      <x:c r="B28" s="1"/>
      <x:c r="C28" s="5"/>
      <x:c r="D28" s="5"/>
      <x:c r="E28" s="5"/>
      <x:c r="F28" s="5"/>
      <x:c r="G28" s="5"/>
      <x:c r="H28" s="5"/>
      <x:c r="I28" s="5"/>
      <x:c r="J28" s="5"/>
      <x:c r="K28" s="19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</x:sheetData>
  <x:mergeCells>
    <x:mergeCell ref="C27:K2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Simulated operating follow-up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5" hidden="0" customHeight="1">
      <x:c r="A6" s="1"/>
      <x:c r="B6" s="1"/>
      <x:c r="C6" s="14" t="str">
        <x:v>Measure</x:v>
      </x:c>
      <x:c r="D6" s="14" t="str">
        <x:v>Frozen plan</x:v>
      </x:c>
      <x:c r="E6" s="14" t="str">
        <x:v>Simulated observation</x:v>
      </x:c>
      <x:c r="F6" s="14" t="str">
        <x:v>Variance</x:v>
      </x:c>
      <x:c r="G6" s="14" t="str">
        <x:v>Review threshold</x:v>
      </x:c>
      <x:c r="H6" s="14" t="str">
        <x:v>Decision</x:v>
      </x:c>
      <x:c r="I6" s="1"/>
      <x:c r="J6" s="1"/>
      <x:c r="K6" s="1"/>
      <x:c r="L6" s="1"/>
    </x:row>
    <x:row r="7" ht="15" hidden="0" customHeight="1">
      <x:c r="A7" s="1"/>
      <x:c r="B7" s="1"/>
      <x:c r="C7" s="5" t="str">
        <x:v>July revenue</x:v>
      </x:c>
      <x:c r="D7" s="34" t="n">
        <x:v>936000</x:v>
      </x:c>
      <x:c r="E7" s="35" t="n">
        <x:v>872000</x:v>
      </x:c>
      <x:c r="F7" s="32" t="n">
        <x:f>E7-D7</x:f>
        <x:v>-64000</x:v>
      </x:c>
      <x:c r="G7" s="5" t="n">
        <x:v>0.05</x:v>
      </x:c>
      <x:c r="H7" s="30" t="str">
        <x:f>IF(E7&lt;D7*(1-G7),"Reforecast","Monitor")</x:f>
        <x:v>Reforecast</x:v>
      </x:c>
      <x:c r="I7" s="1"/>
      <x:c r="J7" s="1"/>
      <x:c r="K7" s="1"/>
      <x:c r="L7" s="1"/>
    </x:row>
    <x:row r="8" ht="15" hidden="0" customHeight="1">
      <x:c r="A8" s="1"/>
      <x:c r="B8" s="1"/>
      <x:c r="C8" s="5" t="str">
        <x:v>July EBITDA</x:v>
      </x:c>
      <x:c r="D8" s="34" t="n">
        <x:v>-28000</x:v>
      </x:c>
      <x:c r="E8" s="35" t="n">
        <x:v>-48000</x:v>
      </x:c>
      <x:c r="F8" s="32" t="n">
        <x:f>E8-D8</x:f>
        <x:v>-20000</x:v>
      </x:c>
      <x:c r="G8" s="5" t="n">
        <x:v>0</x:v>
      </x:c>
      <x:c r="H8" s="30" t="str">
        <x:f>IF(E8&lt;G8,"Review margin drivers","Monitor")</x:f>
        <x:v>Review margin drivers</x:v>
      </x:c>
      <x:c r="I8" s="1"/>
      <x:c r="J8" s="1"/>
      <x:c r="K8" s="1"/>
      <x:c r="L8" s="1"/>
    </x:row>
    <x:row r="9" ht="15" hidden="0" customHeight="1">
      <x:c r="A9" s="1"/>
      <x:c r="B9" s="1"/>
      <x:c r="C9" s="5" t="str">
        <x:v>July ending cash</x:v>
      </x:c>
      <x:c r="D9" s="34" t="n">
        <x:v>420000</x:v>
      </x:c>
      <x:c r="E9" s="35" t="n">
        <x:v>401000</x:v>
      </x:c>
      <x:c r="F9" s="32" t="n">
        <x:f>E9-D9</x:f>
        <x:v>-19000</x:v>
      </x:c>
      <x:c r="G9" s="5" t="n">
        <x:v>250000</x:v>
      </x:c>
      <x:c r="H9" s="30" t="str">
        <x:f>IF(E9&lt;G9,"Escalate cash","Monitor")</x:f>
        <x:v>Monitor</x:v>
      </x:c>
      <x:c r="I9" s="1"/>
      <x:c r="J9" s="1"/>
      <x:c r="K9" s="1"/>
      <x:c r="L9" s="1"/>
    </x:row>
    <x:row r="10" ht="15" hidden="0" customHeight="1">
      <x:c r="A10" s="1"/>
      <x:c r="B10" s="1"/>
      <x:c r="C10" s="5" t="str">
        <x:v>On-time service</x:v>
      </x:c>
      <x:c r="D10" s="36" t="n">
        <x:v>0.95</x:v>
      </x:c>
      <x:c r="E10" s="36" t="n">
        <x:v>0.932</x:v>
      </x:c>
      <x:c r="F10" s="33" t="n">
        <x:f>E10-D10</x:f>
        <x:v>-0.017999999999999905</x:v>
      </x:c>
      <x:c r="G10" s="36" t="n">
        <x:v>0.95</x:v>
      </x:c>
      <x:c r="H10" s="30" t="str">
        <x:f>IF(E10&lt;G10,"Review service capacity","Monitor")</x:f>
        <x:v>Review service capacity</x:v>
      </x:c>
      <x:c r="I10" s="1"/>
      <x:c r="J10" s="1"/>
      <x:c r="K10" s="1"/>
      <x:c r="L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5" t="str">
        <x:v>Separate synthetic monitoring exercise. Frozen plan is an illustrative management target.</x:v>
      </x:c>
      <x:c r="D13" s="5"/>
      <x:c r="E13" s="5"/>
      <x:c r="F13" s="5"/>
      <x:c r="G13" s="5"/>
      <x:c r="H13" s="5"/>
      <x:c r="I13" s="5"/>
      <x:c r="J13" s="5"/>
      <x:c r="K13" s="5"/>
      <x:c r="L13" s="5"/>
    </x:row>
    <x:row r="14" ht="22" customHeight="1">
      <x:c r="A14" s="1"/>
      <x:c r="B14" s="1"/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C13:L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Collections and supplier payments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20" t="d">
        <x:v>2026-07-01T00:00:00.000Z</x:v>
      </x:c>
      <x:c r="E6" s="20" t="d">
        <x:v>2026-08-01T00:00:00.000Z</x:v>
      </x:c>
      <x:c r="F6" s="20" t="d">
        <x:v>2026-09-01T00:00:00.000Z</x:v>
      </x:c>
      <x:c r="G6" s="20" t="d">
        <x:v>2026-10-01T00:00:00.000Z</x:v>
      </x:c>
      <x:c r="H6" s="20" t="d">
        <x:v>2026-11-01T00:00:00.000Z</x:v>
      </x:c>
      <x:c r="I6" s="20" t="d">
        <x:v>2026-12-01T00:00:00.000Z</x:v>
      </x:c>
      <x:c r="J6" s="1"/>
      <x:c r="K6" s="1"/>
      <x:c r="L6" s="1"/>
    </x:row>
    <x:row r="7" ht="22" customHeight="1">
      <x:c r="A7" s="1"/>
      <x:c r="B7" s="1"/>
      <x:c r="C7" s="1" t="str">
        <x:v>Credit revenue</x:v>
      </x:c>
      <x:c r="D7" s="27" t="n">
        <x:f>'Monthly'!J7</x:f>
        <x:v>910447.8928</x:v>
      </x:c>
      <x:c r="E7" s="27" t="n">
        <x:f>'Monthly'!K7</x:f>
        <x:v>965634.71293132</x:v>
      </x:c>
      <x:c r="F7" s="27" t="n">
        <x:f>'Monthly'!L7</x:f>
        <x:v>965846.2469509438</x:v>
      </x:c>
      <x:c r="G7" s="27" t="n">
        <x:f>'Monthly'!M7</x:f>
        <x:v>1063956.4777685371</x:v>
      </x:c>
      <x:c r="H7" s="27" t="n">
        <x:f>'Monthly'!N7</x:f>
        <x:v>1146725.4969682184</x:v>
      </x:c>
      <x:c r="I7" s="27" t="n">
        <x:f>'Monthly'!O7</x:f>
        <x:v>1223869.8783387616</x:v>
      </x:c>
      <x:c r="J7" s="1"/>
      <x:c r="K7" s="1"/>
      <x:c r="L7" s="1"/>
    </x:row>
    <x:row r="8" ht="22" customHeight="1">
      <x:c r="A8" s="1"/>
      <x:c r="B8" s="1"/>
      <x:c r="C8" s="1" t="str">
        <x:v>Current-month collections</x:v>
      </x:c>
      <x:c r="D8" s="27" t="n">
        <x:f>D7*'Assumptions'!$I$43</x:f>
        <x:v>227611.9732</x:v>
      </x:c>
      <x:c r="E8" s="27" t="n">
        <x:f>E7*'Assumptions'!$I$43</x:f>
        <x:v>241408.67823283</x:v>
      </x:c>
      <x:c r="F8" s="27" t="n">
        <x:f>F7*'Assumptions'!$I$43</x:f>
        <x:v>241461.56173773596</x:v>
      </x:c>
      <x:c r="G8" s="27" t="n">
        <x:f>G7*'Assumptions'!$I$43</x:f>
        <x:v>265989.1194421343</x:v>
      </x:c>
      <x:c r="H8" s="27" t="n">
        <x:f>H7*'Assumptions'!$I$43</x:f>
        <x:v>286681.3742420546</x:v>
      </x:c>
      <x:c r="I8" s="27" t="n">
        <x:f>I7*'Assumptions'!$I$43</x:f>
        <x:v>305967.4695846904</x:v>
      </x:c>
      <x:c r="J8" s="1"/>
      <x:c r="K8" s="1"/>
      <x:c r="L8" s="1"/>
    </x:row>
    <x:row r="9" ht="22" customHeight="1">
      <x:c r="A9" s="1"/>
      <x:c r="B9" s="1"/>
      <x:c r="C9" s="1" t="str">
        <x:v>Prior-month collections</x:v>
      </x:c>
      <x:c r="D9" s="28" t="n">
        <x:f>0</x:f>
        <x:v>0</x:v>
      </x:c>
      <x:c r="E9" s="27" t="n">
        <x:f>D7*'Assumptions'!$I$44</x:f>
        <x:v>591791.13032</x:v>
      </x:c>
      <x:c r="F9" s="27" t="n">
        <x:f>E7*'Assumptions'!$I$44</x:f>
        <x:v>627662.563405358</x:v>
      </x:c>
      <x:c r="G9" s="27" t="n">
        <x:f>F7*'Assumptions'!$I$44</x:f>
        <x:v>627800.0605181135</x:v>
      </x:c>
      <x:c r="H9" s="27" t="n">
        <x:f>G7*'Assumptions'!$I$44</x:f>
        <x:v>691571.7105495492</x:v>
      </x:c>
      <x:c r="I9" s="27" t="n">
        <x:f>H7*'Assumptions'!$I$44</x:f>
        <x:v>745371.573029342</x:v>
      </x:c>
      <x:c r="J9" s="1"/>
      <x:c r="K9" s="1"/>
      <x:c r="L9" s="1"/>
    </x:row>
    <x:row r="10" ht="22" customHeight="1">
      <x:c r="A10" s="1"/>
      <x:c r="B10" s="1"/>
      <x:c r="C10" s="1" t="str">
        <x:v>Two-month prior collections</x:v>
      </x:c>
      <x:c r="D10" s="28" t="n">
        <x:f>0</x:f>
        <x:v>0</x:v>
      </x:c>
      <x:c r="E10" s="28" t="n">
        <x:f>0</x:f>
        <x:v>0</x:v>
      </x:c>
      <x:c r="F10" s="27" t="n">
        <x:f>D7*(1-SUM('Assumptions'!$I$43:$I$44))</x:f>
        <x:v>91044.78927999998</x:v>
      </x:c>
      <x:c r="G10" s="27" t="n">
        <x:f>E7*(1-SUM('Assumptions'!$I$43:$I$44))</x:f>
        <x:v>96563.47129313198</x:v>
      </x:c>
      <x:c r="H10" s="27" t="n">
        <x:f>F7*(1-SUM('Assumptions'!$I$43:$I$44))</x:f>
        <x:v>96584.62469509436</x:v>
      </x:c>
      <x:c r="I10" s="27" t="n">
        <x:f>G7*(1-SUM('Assumptions'!$I$43:$I$44))</x:f>
        <x:v>106395.64777685369</x:v>
      </x:c>
      <x:c r="J10" s="1"/>
      <x:c r="K10" s="1"/>
      <x:c r="L10" s="1"/>
    </x:row>
    <x:row r="11" ht="22" customHeight="1">
      <x:c r="A11" s="1"/>
      <x:c r="B11" s="1"/>
      <x:c r="C11" s="1" t="str">
        <x:v>Opening AR collections</x:v>
      </x:c>
      <x:c r="D11" s="27" t="n">
        <x:f>'Assumptions'!I42</x:f>
        <x:v>550000</x:v>
      </x:c>
      <x:c r="E11" s="27" t="n">
        <x:f>'Assumptions'!I41-'Assumptions'!I42</x:f>
        <x:v>470000</x:v>
      </x:c>
      <x:c r="F11" s="28" t="n">
        <x:f>0</x:f>
        <x:v>0</x:v>
      </x:c>
      <x:c r="G11" s="28" t="n">
        <x:f>0</x:f>
        <x:v>0</x:v>
      </x:c>
      <x:c r="H11" s="28" t="n">
        <x:f>0</x:f>
        <x:v>0</x:v>
      </x:c>
      <x:c r="I11" s="28" t="n">
        <x:f>0</x:f>
        <x:v>0</x:v>
      </x:c>
      <x:c r="J11" s="1"/>
      <x:c r="K11" s="1"/>
      <x:c r="L11" s="1"/>
    </x:row>
    <x:row r="12" ht="22" customHeight="1">
      <x:c r="A12" s="1"/>
      <x:c r="B12" s="1"/>
      <x:c r="C12" s="1" t="str">
        <x:v>Total receipts</x:v>
      </x:c>
      <x:c r="D12" s="28" t="n">
        <x:f>SUM(D8:D11)</x:f>
        <x:v>777611.9732</x:v>
      </x:c>
      <x:c r="E12" s="28" t="n">
        <x:f>SUM(E8:E11)</x:f>
        <x:v>1303199.80855283</x:v>
      </x:c>
      <x:c r="F12" s="28" t="n">
        <x:f>SUM(F8:F11)</x:f>
        <x:v>960168.914423094</x:v>
      </x:c>
      <x:c r="G12" s="28" t="n">
        <x:f>SUM(G8:G11)</x:f>
        <x:v>990352.6512533798</x:v>
      </x:c>
      <x:c r="H12" s="28" t="n">
        <x:f>SUM(H8:H11)</x:f>
        <x:v>1074837.709486698</x:v>
      </x:c>
      <x:c r="I12" s="28" t="n">
        <x:f>SUM(I8:I11)</x:f>
        <x:v>1157734.6903908863</x:v>
      </x:c>
      <x:c r="J12" s="1"/>
      <x:c r="K12" s="1"/>
      <x:c r="L12" s="1"/>
    </x:row>
    <x:row r="13" ht="22" customHeight="1">
      <x:c r="A13" s="1"/>
      <x:c r="B13" s="1"/>
      <x:c r="C13" s="1" t="str">
        <x:v>Opening AR</x:v>
      </x:c>
      <x:c r="D13" s="27" t="n">
        <x:f>'Assumptions'!I41</x:f>
        <x:v>1020000</x:v>
      </x:c>
      <x:c r="E13" s="28" t="n">
        <x:f>D14</x:f>
        <x:v>1152835.9196000001</x:v>
      </x:c>
      <x:c r="F13" s="28" t="n">
        <x:f>E14</x:f>
        <x:v>815270.8239784902</x:v>
      </x:c>
      <x:c r="G13" s="28" t="n">
        <x:f>F14</x:f>
        <x:v>820948.1565063401</x:v>
      </x:c>
      <x:c r="H13" s="28" t="n">
        <x:f>G14</x:f>
        <x:v>894551.9830214974</x:v>
      </x:c>
      <x:c r="I13" s="28" t="n">
        <x:f>H14</x:f>
        <x:v>966439.7705030178</x:v>
      </x:c>
      <x:c r="J13" s="1"/>
      <x:c r="K13" s="1"/>
      <x:c r="L13" s="1"/>
    </x:row>
    <x:row r="14" ht="22" customHeight="1">
      <x:c r="A14" s="1"/>
      <x:c r="B14" s="1"/>
      <x:c r="C14" s="1" t="str">
        <x:v>Closing AR</x:v>
      </x:c>
      <x:c r="D14" s="28" t="n">
        <x:f>D13+D7-D12</x:f>
        <x:v>1152835.9196000001</x:v>
      </x:c>
      <x:c r="E14" s="28" t="n">
        <x:f>E13+E7-E12</x:f>
        <x:v>815270.8239784902</x:v>
      </x:c>
      <x:c r="F14" s="28" t="n">
        <x:f>F13+F7-F12</x:f>
        <x:v>820948.1565063401</x:v>
      </x:c>
      <x:c r="G14" s="28" t="n">
        <x:f>G13+G7-G12</x:f>
        <x:v>894551.9830214974</x:v>
      </x:c>
      <x:c r="H14" s="28" t="n">
        <x:f>H13+H7-H12</x:f>
        <x:v>966439.7705030178</x:v>
      </x:c>
      <x:c r="I14" s="28" t="n">
        <x:f>I13+I7-I12</x:f>
        <x:v>1032574.9584508934</x:v>
      </x:c>
      <x:c r="J14" s="1"/>
      <x:c r="K14" s="1"/>
      <x:c r="L14" s="1"/>
    </x:row>
    <x:row r="15" ht="22" customHeight="1">
      <x:c r="A15" s="1"/>
      <x:c r="B15" s="1"/>
      <x:c r="C15" s="1"/>
      <x:c r="D15" s="21"/>
      <x:c r="E15" s="21"/>
      <x:c r="F15" s="21"/>
      <x:c r="G15" s="21"/>
      <x:c r="H15" s="21"/>
      <x:c r="I15" s="21"/>
      <x:c r="J15" s="1"/>
      <x:c r="K15" s="1"/>
      <x:c r="L15" s="1"/>
    </x:row>
    <x:row r="16" ht="22" customHeight="1">
      <x:c r="A16" s="1"/>
      <x:c r="B16" s="1"/>
      <x:c r="C16" s="1" t="str">
        <x:v>Supplier purchases</x:v>
      </x:c>
      <x:c r="D16" s="27" t="n">
        <x:f>'Monthly'!J8</x:f>
        <x:v>495857.2799999999</x:v>
      </x:c>
      <x:c r="E16" s="27" t="n">
        <x:f>'Monthly'!K8</x:f>
        <x:v>529540.9504375</x:v>
      </x:c>
      <x:c r="F16" s="27" t="n">
        <x:f>'Monthly'!L8</x:f>
        <x:v>533321.9622759373</x:v>
      </x:c>
      <x:c r="G16" s="27" t="n">
        <x:f>'Monthly'!M8</x:f>
        <x:v>591505.4678485779</x:v>
      </x:c>
      <x:c r="H16" s="27" t="n">
        <x:f>'Monthly'!N8</x:f>
        <x:v>641920.9002589112</x:v>
      </x:c>
      <x:c r="I16" s="27" t="n">
        <x:f>'Monthly'!O8</x:f>
        <x:v>689814.0344479048</x:v>
      </x:c>
      <x:c r="J16" s="1"/>
      <x:c r="K16" s="1"/>
      <x:c r="L16" s="1"/>
    </x:row>
    <x:row r="17" ht="22" customHeight="1">
      <x:c r="A17" s="1"/>
      <x:c r="B17" s="1"/>
      <x:c r="C17" s="1" t="str">
        <x:v>Current-month payments</x:v>
      </x:c>
      <x:c r="D17" s="27" t="n">
        <x:f>D16*'Assumptions'!$I$46</x:f>
        <x:v>247928.63999999996</x:v>
      </x:c>
      <x:c r="E17" s="27" t="n">
        <x:f>E16*'Assumptions'!$I$46</x:f>
        <x:v>264770.47521875</x:v>
      </x:c>
      <x:c r="F17" s="27" t="n">
        <x:f>F16*'Assumptions'!$I$46</x:f>
        <x:v>266660.98113796866</x:v>
      </x:c>
      <x:c r="G17" s="27" t="n">
        <x:f>G16*'Assumptions'!$I$46</x:f>
        <x:v>295752.73392428894</x:v>
      </x:c>
      <x:c r="H17" s="27" t="n">
        <x:f>H16*'Assumptions'!$I$46</x:f>
        <x:v>320960.4501294556</x:v>
      </x:c>
      <x:c r="I17" s="27" t="n">
        <x:f>I16*'Assumptions'!$I$46</x:f>
        <x:v>344907.0172239524</x:v>
      </x:c>
      <x:c r="J17" s="1"/>
      <x:c r="K17" s="1"/>
      <x:c r="L17" s="1"/>
    </x:row>
    <x:row r="18" ht="22" customHeight="1">
      <x:c r="A18" s="1"/>
      <x:c r="B18" s="1"/>
      <x:c r="C18" s="1" t="str">
        <x:v>Prior-month payments</x:v>
      </x:c>
      <x:c r="D18" s="28" t="n">
        <x:f>0</x:f>
        <x:v>0</x:v>
      </x:c>
      <x:c r="E18" s="27" t="n">
        <x:f>D16*(1-'Assumptions'!$I$46)</x:f>
        <x:v>247928.63999999996</x:v>
      </x:c>
      <x:c r="F18" s="27" t="n">
        <x:f>E16*(1-'Assumptions'!$I$46)</x:f>
        <x:v>264770.47521875</x:v>
      </x:c>
      <x:c r="G18" s="27" t="n">
        <x:f>F16*(1-'Assumptions'!$I$46)</x:f>
        <x:v>266660.98113796866</x:v>
      </x:c>
      <x:c r="H18" s="27" t="n">
        <x:f>G16*(1-'Assumptions'!$I$46)</x:f>
        <x:v>295752.73392428894</x:v>
      </x:c>
      <x:c r="I18" s="27" t="n">
        <x:f>H16*(1-'Assumptions'!$I$46)</x:f>
        <x:v>320960.4501294556</x:v>
      </x:c>
      <x:c r="J18" s="1"/>
      <x:c r="K18" s="1"/>
      <x:c r="L18" s="1"/>
    </x:row>
    <x:row r="19" ht="22" customHeight="1">
      <x:c r="A19" s="1"/>
      <x:c r="B19" s="1"/>
      <x:c r="C19" s="1" t="str">
        <x:v>Opening AP payment</x:v>
      </x:c>
      <x:c r="D19" s="27" t="n">
        <x:f>'Assumptions'!I45</x:f>
        <x:v>300000</x:v>
      </x:c>
      <x:c r="E19" s="28" t="n">
        <x:f>0</x:f>
        <x:v>0</x:v>
      </x:c>
      <x:c r="F19" s="28" t="n">
        <x:f>0</x:f>
        <x:v>0</x:v>
      </x:c>
      <x:c r="G19" s="28" t="n">
        <x:f>0</x:f>
        <x:v>0</x:v>
      </x:c>
      <x:c r="H19" s="28" t="n">
        <x:f>0</x:f>
        <x:v>0</x:v>
      </x:c>
      <x:c r="I19" s="28" t="n">
        <x:f>0</x:f>
        <x:v>0</x:v>
      </x:c>
      <x:c r="J19" s="1"/>
      <x:c r="K19" s="1"/>
      <x:c r="L19" s="1"/>
    </x:row>
    <x:row r="20" ht="22" customHeight="1">
      <x:c r="A20" s="1"/>
      <x:c r="B20" s="1"/>
      <x:c r="C20" s="1" t="str">
        <x:v>Total supplier payments</x:v>
      </x:c>
      <x:c r="D20" s="28" t="n">
        <x:f>SUM(D17:D19)</x:f>
        <x:v>547928.6399999999</x:v>
      </x:c>
      <x:c r="E20" s="28" t="n">
        <x:f>SUM(E17:E19)</x:f>
        <x:v>512699.11521874997</x:v>
      </x:c>
      <x:c r="F20" s="28" t="n">
        <x:f>SUM(F17:F19)</x:f>
        <x:v>531431.4563567187</x:v>
      </x:c>
      <x:c r="G20" s="28" t="n">
        <x:f>SUM(G17:G19)</x:f>
        <x:v>562413.7150622576</x:v>
      </x:c>
      <x:c r="H20" s="28" t="n">
        <x:f>SUM(H17:H19)</x:f>
        <x:v>616713.1840537445</x:v>
      </x:c>
      <x:c r="I20" s="28" t="n">
        <x:f>SUM(I17:I19)</x:f>
        <x:v>665867.467353408</x:v>
      </x:c>
      <x:c r="J20" s="1"/>
      <x:c r="K20" s="1"/>
      <x:c r="L20" s="1"/>
    </x:row>
    <x:row r="21" ht="22" customHeight="1">
      <x:c r="A21" s="1"/>
      <x:c r="B21" s="1"/>
      <x:c r="C21" s="1" t="str">
        <x:v>Opening AP</x:v>
      </x:c>
      <x:c r="D21" s="27" t="n">
        <x:f>'Assumptions'!I45</x:f>
        <x:v>300000</x:v>
      </x:c>
      <x:c r="E21" s="28" t="n">
        <x:f>D22</x:f>
        <x:v>247928.64</x:v>
      </x:c>
      <x:c r="F21" s="28" t="n">
        <x:f>E22</x:f>
        <x:v>264770.47521875007</x:v>
      </x:c>
      <x:c r="G21" s="28" t="n">
        <x:f>F22</x:f>
        <x:v>266660.9811379687</x:v>
      </x:c>
      <x:c r="H21" s="28" t="n">
        <x:f>G22</x:f>
        <x:v>295752.733924289</x:v>
      </x:c>
      <x:c r="I21" s="28" t="n">
        <x:f>H22</x:f>
        <x:v>320960.45012945565</x:v>
      </x:c>
      <x:c r="J21" s="1"/>
      <x:c r="K21" s="1"/>
      <x:c r="L21" s="1"/>
    </x:row>
    <x:row r="22" ht="22" customHeight="1">
      <x:c r="A22" s="1"/>
      <x:c r="B22" s="1"/>
      <x:c r="C22" s="1" t="str">
        <x:v>Closing AP</x:v>
      </x:c>
      <x:c r="D22" s="28" t="n">
        <x:f>D21+D16-D20</x:f>
        <x:v>247928.64</x:v>
      </x:c>
      <x:c r="E22" s="28" t="n">
        <x:f>E21+E16-E20</x:f>
        <x:v>264770.47521875007</x:v>
      </x:c>
      <x:c r="F22" s="28" t="n">
        <x:f>F21+F16-F20</x:f>
        <x:v>266660.9811379687</x:v>
      </x:c>
      <x:c r="G22" s="28" t="n">
        <x:f>G21+G16-G20</x:f>
        <x:v>295752.733924289</x:v>
      </x:c>
      <x:c r="H22" s="28" t="n">
        <x:f>H21+H16-H20</x:f>
        <x:v>320960.45012945565</x:v>
      </x:c>
      <x:c r="I22" s="28" t="n">
        <x:f>I21+I16-I20</x:f>
        <x:v>344907.01722395245</x:v>
      </x:c>
      <x:c r="J22" s="1"/>
      <x:c r="K22" s="1"/>
      <x:c r="L22" s="1"/>
    </x:row>
    <x:row r="23" ht="22" customHeight="1">
      <x:c r="A23" s="1"/>
      <x:c r="B23" s="1"/>
      <x:c r="C23" s="1"/>
      <x:c r="D23" s="21"/>
      <x:c r="E23" s="21"/>
      <x:c r="F23" s="21"/>
      <x:c r="G23" s="21"/>
      <x:c r="H23" s="21"/>
      <x:c r="I23" s="21"/>
      <x:c r="J23" s="1"/>
      <x:c r="K23" s="1"/>
      <x:c r="L23" s="1"/>
    </x:row>
    <x:row r="24" ht="22" customHeight="1">
      <x:c r="A24" s="1"/>
      <x:c r="B24" s="1"/>
      <x:c r="C24" s="1"/>
      <x:c r="D24" s="21"/>
      <x:c r="E24" s="21"/>
      <x:c r="F24" s="21"/>
      <x:c r="G24" s="21"/>
      <x:c r="H24" s="21"/>
      <x:c r="I24" s="21"/>
      <x:c r="J24" s="1"/>
      <x:c r="K24" s="1"/>
      <x:c r="L24" s="1"/>
    </x:row>
    <x:row r="25" ht="22" customHeight="1">
      <x:c r="A25" s="1"/>
      <x:c r="B25" s="1"/>
      <x:c r="C25" s="1"/>
      <x:c r="D25" s="21"/>
      <x:c r="E25" s="21"/>
      <x:c r="F25" s="21"/>
      <x:c r="G25" s="21"/>
      <x:c r="H25" s="21"/>
      <x:c r="I25" s="21"/>
      <x:c r="J25" s="1"/>
      <x:c r="K25" s="1"/>
      <x:c r="L25" s="1"/>
    </x:row>
    <x:row r="26" ht="22" customHeight="1">
      <x:c r="A26" s="1"/>
      <x:c r="B26" s="1"/>
      <x:c r="C26" s="5" t="str">
        <x:v>Opening AR uses two dated collection buckets. Sales collect 25% / 65% / 10%.</x:v>
      </x:c>
      <x:c r="D26" s="35"/>
      <x:c r="E26" s="35"/>
      <x:c r="F26" s="35"/>
      <x:c r="G26" s="35"/>
      <x:c r="H26" s="35"/>
      <x:c r="I26" s="35"/>
      <x:c r="J26" s="5"/>
      <x:c r="K26" s="5"/>
      <x:c r="L26" s="1"/>
    </x:row>
    <x:row r="27" ht="22" customHeight="1">
      <x:c r="A27" s="1"/>
      <x:c r="B27" s="1"/>
      <x:c r="C27" s="5"/>
      <x:c r="D27" s="35"/>
      <x:c r="E27" s="35"/>
      <x:c r="F27" s="35"/>
      <x:c r="G27" s="35"/>
      <x:c r="H27" s="35"/>
      <x:c r="I27" s="35"/>
      <x:c r="J27" s="5"/>
      <x:c r="K27" s="5"/>
      <x:c r="L27" s="1"/>
    </x:row>
    <x:row r="28" ht="22" customHeight="1">
      <x:c r="A28" s="1"/>
      <x:c r="B28" s="1"/>
      <x:c r="C28" s="1"/>
      <x:c r="D28" s="21"/>
      <x:c r="E28" s="21"/>
      <x:c r="F28" s="21"/>
      <x:c r="G28" s="21"/>
      <x:c r="H28" s="21"/>
      <x:c r="I28" s="21"/>
      <x:c r="J28" s="1"/>
      <x:c r="K28" s="1"/>
      <x:c r="L28" s="1"/>
    </x:row>
    <x:row r="29" ht="22" customHeight="1">
      <x:c r="A29" s="1"/>
      <x:c r="B29" s="1"/>
      <x:c r="C29" s="1"/>
      <x:c r="D29" s="21"/>
      <x:c r="E29" s="21"/>
      <x:c r="F29" s="21"/>
      <x:c r="G29" s="21"/>
      <x:c r="H29" s="21"/>
      <x:c r="I29" s="21"/>
      <x:c r="J29" s="1"/>
      <x:c r="K29" s="1"/>
      <x:c r="L29" s="1"/>
    </x:row>
    <x:row r="30" ht="22" customHeight="1">
      <x:c r="A30" s="1"/>
      <x:c r="B30" s="1"/>
      <x:c r="C30" s="1"/>
      <x:c r="D30" s="21"/>
      <x:c r="E30" s="21"/>
      <x:c r="F30" s="21"/>
      <x:c r="G30" s="21"/>
      <x:c r="H30" s="21"/>
      <x:c r="I30" s="21"/>
      <x:c r="J30" s="1"/>
      <x:c r="K30" s="1"/>
      <x:c r="L30" s="1"/>
    </x:row>
    <x:row r="31" ht="22" customHeight="1">
      <x:c r="A31" s="1"/>
      <x:c r="B31" s="1"/>
      <x:c r="C31" s="1"/>
      <x:c r="D31" s="21"/>
      <x:c r="E31" s="21"/>
      <x:c r="F31" s="21"/>
      <x:c r="G31" s="21"/>
      <x:c r="H31" s="21"/>
      <x:c r="I31" s="21"/>
      <x:c r="J31" s="1"/>
      <x:c r="K31" s="1"/>
      <x:c r="L31" s="1"/>
    </x:row>
    <x:row r="32" ht="22" customHeight="1">
      <x:c r="A32" s="1"/>
      <x:c r="B32" s="1"/>
      <x:c r="C32" s="1"/>
      <x:c r="D32" s="21"/>
      <x:c r="E32" s="21"/>
      <x:c r="F32" s="21"/>
      <x:c r="G32" s="21"/>
      <x:c r="H32" s="21"/>
      <x:c r="I32" s="21"/>
      <x:c r="J32" s="1"/>
      <x:c r="K32" s="1"/>
      <x:c r="L32" s="1"/>
    </x:row>
    <x:row r="33" ht="22" customHeight="1">
      <x:c r="A33" s="1"/>
      <x:c r="B33" s="1"/>
      <x:c r="C33" s="1"/>
      <x:c r="D33" s="21"/>
      <x:c r="E33" s="21"/>
      <x:c r="F33" s="21"/>
      <x:c r="G33" s="21"/>
      <x:c r="H33" s="21"/>
      <x:c r="I33" s="21"/>
      <x:c r="J33" s="1"/>
      <x:c r="K33" s="1"/>
      <x:c r="L33" s="1"/>
    </x:row>
    <x:row r="34" ht="22" customHeight="1">
      <x:c r="A34" s="1"/>
      <x:c r="B34" s="1"/>
      <x:c r="C34" s="1"/>
      <x:c r="D34" s="21"/>
      <x:c r="E34" s="21"/>
      <x:c r="F34" s="21"/>
      <x:c r="G34" s="21"/>
      <x:c r="H34" s="21"/>
      <x:c r="I34" s="21"/>
      <x:c r="J34" s="1"/>
      <x:c r="K34" s="1"/>
      <x:c r="L34" s="1"/>
    </x:row>
    <x:row r="35" ht="22" customHeight="1">
      <x:c r="A35" s="1"/>
      <x:c r="B35" s="1"/>
      <x:c r="C35" s="1"/>
      <x:c r="D35" s="21"/>
      <x:c r="E35" s="21"/>
      <x:c r="F35" s="21"/>
      <x:c r="G35" s="21"/>
      <x:c r="H35" s="21"/>
      <x:c r="I35" s="21"/>
      <x:c r="J35" s="1"/>
      <x:c r="K35" s="1"/>
      <x:c r="L35" s="1"/>
    </x:row>
    <x:row r="36" ht="22" customHeight="1">
      <x:c r="A36" s="1"/>
      <x:c r="B36" s="1"/>
      <x:c r="C36" s="1"/>
      <x:c r="D36" s="21"/>
      <x:c r="E36" s="21"/>
      <x:c r="F36" s="21"/>
      <x:c r="G36" s="21"/>
      <x:c r="H36" s="21"/>
      <x:c r="I36" s="21"/>
      <x:c r="J36" s="1"/>
      <x:c r="K36" s="1"/>
      <x:c r="L36" s="1"/>
    </x:row>
    <x:row r="37" ht="22" customHeight="1">
      <x:c r="A37" s="1"/>
      <x:c r="B37" s="1"/>
      <x:c r="C37" s="1"/>
      <x:c r="D37" s="21"/>
      <x:c r="E37" s="21"/>
      <x:c r="F37" s="21"/>
      <x:c r="G37" s="21"/>
      <x:c r="H37" s="21"/>
      <x:c r="I37" s="21"/>
      <x:c r="J37" s="1"/>
      <x:c r="K37" s="1"/>
      <x:c r="L37" s="1"/>
    </x:row>
    <x:row r="38" ht="22" customHeight="1">
      <x:c r="A38" s="1"/>
      <x:c r="B38" s="1"/>
      <x:c r="C38" s="1"/>
      <x:c r="D38" s="21"/>
      <x:c r="E38" s="21"/>
      <x:c r="F38" s="21"/>
      <x:c r="G38" s="21"/>
      <x:c r="H38" s="21"/>
      <x:c r="I38" s="21"/>
      <x:c r="J38" s="1"/>
      <x:c r="K38" s="1"/>
      <x:c r="L38" s="1"/>
    </x:row>
    <x:row r="39" ht="22" customHeight="1">
      <x:c r="A39" s="1"/>
      <x:c r="B39" s="1"/>
      <x:c r="C39" s="1"/>
      <x:c r="D39" s="21"/>
      <x:c r="E39" s="21"/>
      <x:c r="F39" s="21"/>
      <x:c r="G39" s="21"/>
      <x:c r="H39" s="21"/>
      <x:c r="I39" s="21"/>
      <x:c r="J39" s="1"/>
      <x:c r="K39" s="1"/>
      <x:c r="L39" s="1"/>
    </x:row>
    <x:row r="40" ht="22" customHeight="1">
      <x:c r="A40" s="1"/>
      <x:c r="B40" s="1"/>
      <x:c r="C40" s="1"/>
      <x:c r="D40" s="21"/>
      <x:c r="E40" s="21"/>
      <x:c r="F40" s="21"/>
      <x:c r="G40" s="21"/>
      <x:c r="H40" s="21"/>
      <x:c r="I40" s="21"/>
      <x:c r="J40" s="1"/>
      <x:c r="K40" s="1"/>
      <x:c r="L40" s="1"/>
    </x:row>
    <x:row r="41" ht="22" customHeight="1">
      <x:c r="A41" s="1"/>
      <x:c r="B41" s="1"/>
      <x:c r="C41" s="1"/>
      <x:c r="D41" s="21"/>
      <x:c r="E41" s="21"/>
      <x:c r="F41" s="21"/>
      <x:c r="G41" s="21"/>
      <x:c r="H41" s="21"/>
      <x:c r="I41" s="21"/>
      <x:c r="J41" s="1"/>
      <x:c r="K41" s="1"/>
      <x:c r="L41" s="1"/>
    </x:row>
    <x:row r="42" ht="22" customHeight="1">
      <x:c r="A42" s="1"/>
      <x:c r="B42" s="1"/>
      <x:c r="C42" s="1"/>
      <x:c r="D42" s="21"/>
      <x:c r="E42" s="21"/>
      <x:c r="F42" s="21"/>
      <x:c r="G42" s="21"/>
      <x:c r="H42" s="21"/>
      <x:c r="I42" s="21"/>
      <x:c r="J42" s="1"/>
      <x:c r="K42" s="1"/>
      <x:c r="L42" s="1"/>
    </x:row>
    <x:row r="43" ht="22" customHeight="1">
      <x:c r="A43" s="1"/>
      <x:c r="B43" s="1"/>
      <x:c r="C43" s="1"/>
      <x:c r="D43" s="21"/>
      <x:c r="E43" s="21"/>
      <x:c r="F43" s="21"/>
      <x:c r="G43" s="21"/>
      <x:c r="H43" s="21"/>
      <x:c r="I43" s="21"/>
      <x:c r="J43" s="1"/>
      <x:c r="K43" s="1"/>
      <x:c r="L43" s="1"/>
    </x:row>
    <x:row r="44" ht="22" customHeight="1">
      <x:c r="A44" s="1"/>
      <x:c r="B44" s="1"/>
      <x:c r="C44" s="1"/>
      <x:c r="D44" s="21"/>
      <x:c r="E44" s="21"/>
      <x:c r="F44" s="21"/>
      <x:c r="G44" s="21"/>
      <x:c r="H44" s="21"/>
      <x:c r="I44" s="21"/>
      <x:c r="J44" s="1"/>
      <x:c r="K44" s="1"/>
      <x:c r="L44" s="1"/>
    </x:row>
    <x:row r="45" ht="22" customHeight="1">
      <x:c r="A45" s="1"/>
      <x:c r="B45" s="1"/>
      <x:c r="C45" s="1"/>
      <x:c r="D45" s="21"/>
      <x:c r="E45" s="21"/>
      <x:c r="F45" s="21"/>
      <x:c r="G45" s="21"/>
      <x:c r="H45" s="21"/>
      <x:c r="I45" s="21"/>
      <x:c r="J45" s="1"/>
      <x:c r="K45" s="1"/>
      <x:c r="L45" s="1"/>
    </x:row>
    <x:row r="46" ht="22" customHeight="1">
      <x:c r="A46" s="1"/>
      <x:c r="B46" s="1"/>
      <x:c r="C46" s="1"/>
      <x:c r="D46" s="21"/>
      <x:c r="E46" s="21"/>
      <x:c r="F46" s="21"/>
      <x:c r="G46" s="21"/>
      <x:c r="H46" s="21"/>
      <x:c r="I46" s="21"/>
      <x:c r="J46" s="1"/>
      <x:c r="K46" s="1"/>
      <x:c r="L46" s="1"/>
    </x:row>
    <x:row r="47" ht="22" customHeight="1">
      <x:c r="A47" s="1"/>
      <x:c r="B47" s="1"/>
      <x:c r="C47" s="1"/>
      <x:c r="D47" s="21"/>
      <x:c r="E47" s="21"/>
      <x:c r="F47" s="21"/>
      <x:c r="G47" s="21"/>
      <x:c r="H47" s="21"/>
      <x:c r="I47" s="21"/>
      <x:c r="J47" s="1"/>
      <x:c r="K47" s="1"/>
      <x:c r="L47" s="1"/>
    </x:row>
    <x:row r="48" ht="22" customHeight="1">
      <x:c r="A48" s="1"/>
      <x:c r="B48" s="1"/>
      <x:c r="C48" s="1"/>
      <x:c r="D48" s="21"/>
      <x:c r="E48" s="21"/>
      <x:c r="F48" s="21"/>
      <x:c r="G48" s="21"/>
      <x:c r="H48" s="21"/>
      <x:c r="I48" s="21"/>
      <x:c r="J48" s="1"/>
      <x:c r="K48" s="1"/>
      <x:c r="L48" s="1"/>
    </x:row>
    <x:row r="49" ht="22" customHeight="1">
      <x:c r="A49" s="1"/>
      <x:c r="B49" s="1"/>
      <x:c r="C49" s="1"/>
      <x:c r="D49" s="21"/>
      <x:c r="E49" s="21"/>
      <x:c r="F49" s="21"/>
      <x:c r="G49" s="21"/>
      <x:c r="H49" s="21"/>
      <x:c r="I49" s="21"/>
      <x:c r="J49" s="1"/>
      <x:c r="K49" s="1"/>
      <x:c r="L49" s="1"/>
    </x:row>
    <x:row r="50" ht="22" customHeight="1">
      <x:c r="A50" s="1"/>
      <x:c r="B50" s="1"/>
      <x:c r="C50" s="1"/>
      <x:c r="D50" s="21"/>
      <x:c r="E50" s="21"/>
      <x:c r="F50" s="21"/>
      <x:c r="G50" s="21"/>
      <x:c r="H50" s="21"/>
      <x:c r="I50" s="21"/>
      <x:c r="J50" s="1"/>
      <x:c r="K50" s="1"/>
      <x:c r="L50" s="1"/>
    </x:row>
    <x:row r="51" ht="22" customHeight="1">
      <x:c r="A51" s="1"/>
      <x:c r="B51" s="1"/>
      <x:c r="C51" s="1"/>
      <x:c r="D51" s="21"/>
      <x:c r="E51" s="21"/>
      <x:c r="F51" s="21"/>
      <x:c r="G51" s="21"/>
      <x:c r="H51" s="21"/>
      <x:c r="I51" s="21"/>
      <x:c r="J51" s="1"/>
      <x:c r="K51" s="1"/>
      <x:c r="L51" s="1"/>
    </x:row>
    <x:row r="52" ht="22" customHeight="1">
      <x:c r="A52" s="1"/>
      <x:c r="B52" s="1"/>
      <x:c r="C52" s="1"/>
      <x:c r="D52" s="21"/>
      <x:c r="E52" s="21"/>
      <x:c r="F52" s="21"/>
      <x:c r="G52" s="21"/>
      <x:c r="H52" s="21"/>
      <x:c r="I52" s="21"/>
      <x:c r="J52" s="1"/>
      <x:c r="K52" s="1"/>
      <x:c r="L52" s="1"/>
    </x:row>
    <x:row r="53" ht="22" customHeight="1">
      <x:c r="A53" s="1"/>
      <x:c r="B53" s="1"/>
      <x:c r="C53" s="1"/>
      <x:c r="D53" s="21"/>
      <x:c r="E53" s="21"/>
      <x:c r="F53" s="21"/>
      <x:c r="G53" s="21"/>
      <x:c r="H53" s="21"/>
      <x:c r="I53" s="21"/>
      <x:c r="J53" s="1"/>
      <x:c r="K53" s="1"/>
      <x:c r="L53" s="1"/>
    </x:row>
    <x:row r="54" ht="22" customHeight="1">
      <x:c r="A54" s="1"/>
      <x:c r="B54" s="1"/>
      <x:c r="C54" s="1"/>
      <x:c r="D54" s="21"/>
      <x:c r="E54" s="21"/>
      <x:c r="F54" s="21"/>
      <x:c r="G54" s="21"/>
      <x:c r="H54" s="21"/>
      <x:c r="I54" s="21"/>
      <x:c r="J54" s="1"/>
      <x:c r="K54" s="1"/>
      <x:c r="L54" s="1"/>
    </x:row>
    <x:row r="55" ht="22" customHeight="1">
      <x:c r="A55" s="1"/>
      <x:c r="B55" s="1"/>
      <x:c r="C55" s="1"/>
      <x:c r="D55" s="21"/>
      <x:c r="E55" s="21"/>
      <x:c r="F55" s="21"/>
      <x:c r="G55" s="21"/>
      <x:c r="H55" s="21"/>
      <x:c r="I55" s="2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D4:F4"/>
    <x:mergeCell ref="C26:K2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Debt and interest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20" t="d">
        <x:v>2026-07-01T00:00:00.000Z</x:v>
      </x:c>
      <x:c r="E6" s="20" t="d">
        <x:v>2026-08-01T00:00:00.000Z</x:v>
      </x:c>
      <x:c r="F6" s="20" t="d">
        <x:v>2026-09-01T00:00:00.000Z</x:v>
      </x:c>
      <x:c r="G6" s="20" t="d">
        <x:v>2026-10-01T00:00:00.000Z</x:v>
      </x:c>
      <x:c r="H6" s="20" t="d">
        <x:v>2026-11-01T00:00:00.000Z</x:v>
      </x:c>
      <x:c r="I6" s="20" t="d">
        <x:v>2026-12-01T00:00:00.000Z</x:v>
      </x:c>
      <x:c r="J6" s="1"/>
      <x:c r="K6" s="1"/>
      <x:c r="L6" s="1"/>
    </x:row>
    <x:row r="7" ht="22" customHeight="1">
      <x:c r="A7" s="1"/>
      <x:c r="B7" s="1"/>
      <x:c r="C7" s="1" t="str">
        <x:v>Opening debt</x:v>
      </x:c>
      <x:c r="D7" s="27" t="n">
        <x:f>'Assumptions'!I50</x:f>
        <x:v>600000</x:v>
      </x:c>
      <x:c r="E7" s="28" t="n">
        <x:f>D11</x:f>
        <x:v>590000</x:v>
      </x:c>
      <x:c r="F7" s="28" t="n">
        <x:f>E11</x:f>
        <x:v>580000</x:v>
      </x:c>
      <x:c r="G7" s="28" t="n">
        <x:f>F11</x:f>
        <x:v>570000</x:v>
      </x:c>
      <x:c r="H7" s="28" t="n">
        <x:f>G11</x:f>
        <x:v>560000</x:v>
      </x:c>
      <x:c r="I7" s="28" t="n">
        <x:f>H11</x:f>
        <x:v>550000</x:v>
      </x:c>
      <x:c r="J7" s="1"/>
      <x:c r="K7" s="1"/>
      <x:c r="L7" s="1"/>
    </x:row>
    <x:row r="8" ht="22" customHeight="1">
      <x:c r="A8" s="1"/>
      <x:c r="B8" s="1"/>
      <x:c r="C8" s="1" t="str">
        <x:v>Annual interest rate</x:v>
      </x:c>
      <x:c r="D8" s="38" t="n">
        <x:f>'Assumptions'!$I$51</x:f>
        <x:v>0.08</x:v>
      </x:c>
      <x:c r="E8" s="38" t="n">
        <x:f>'Assumptions'!$I$51</x:f>
        <x:v>0.08</x:v>
      </x:c>
      <x:c r="F8" s="38" t="n">
        <x:f>'Assumptions'!$I$51</x:f>
        <x:v>0.08</x:v>
      </x:c>
      <x:c r="G8" s="38" t="n">
        <x:f>'Assumptions'!$I$51</x:f>
        <x:v>0.08</x:v>
      </x:c>
      <x:c r="H8" s="38" t="n">
        <x:f>'Assumptions'!$I$51</x:f>
        <x:v>0.08</x:v>
      </x:c>
      <x:c r="I8" s="38" t="n">
        <x:f>'Assumptions'!$I$51</x:f>
        <x:v>0.08</x:v>
      </x:c>
      <x:c r="J8" s="1"/>
      <x:c r="K8" s="1"/>
      <x:c r="L8" s="1"/>
    </x:row>
    <x:row r="9" ht="22" customHeight="1">
      <x:c r="A9" s="1"/>
      <x:c r="B9" s="1"/>
      <x:c r="C9" s="1" t="str">
        <x:v>Interest expense / cash paid</x:v>
      </x:c>
      <x:c r="D9" s="28" t="n">
        <x:f>D7*D8/12</x:f>
        <x:v>4000</x:v>
      </x:c>
      <x:c r="E9" s="28" t="n">
        <x:f>E7*E8/12</x:f>
        <x:v>3933.3333333333335</x:v>
      </x:c>
      <x:c r="F9" s="28" t="n">
        <x:f>F7*F8/12</x:f>
        <x:v>3866.6666666666665</x:v>
      </x:c>
      <x:c r="G9" s="28" t="n">
        <x:f>G7*G8/12</x:f>
        <x:v>3800</x:v>
      </x:c>
      <x:c r="H9" s="28" t="n">
        <x:f>H7*H8/12</x:f>
        <x:v>3733.3333333333335</x:v>
      </x:c>
      <x:c r="I9" s="28" t="n">
        <x:f>I7*I8/12</x:f>
        <x:v>3666.6666666666665</x:v>
      </x:c>
      <x:c r="J9" s="1"/>
      <x:c r="K9" s="1"/>
      <x:c r="L9" s="1"/>
    </x:row>
    <x:row r="10" ht="22" customHeight="1">
      <x:c r="A10" s="1"/>
      <x:c r="B10" s="1"/>
      <x:c r="C10" s="1" t="str">
        <x:v>Principal repayment</x:v>
      </x:c>
      <x:c r="D10" s="27" t="n">
        <x:f>MIN(D7,'Assumptions'!$I$52)</x:f>
        <x:v>10000</x:v>
      </x:c>
      <x:c r="E10" s="27" t="n">
        <x:f>MIN(E7,'Assumptions'!$I$52)</x:f>
        <x:v>10000</x:v>
      </x:c>
      <x:c r="F10" s="27" t="n">
        <x:f>MIN(F7,'Assumptions'!$I$52)</x:f>
        <x:v>10000</x:v>
      </x:c>
      <x:c r="G10" s="27" t="n">
        <x:f>MIN(G7,'Assumptions'!$I$52)</x:f>
        <x:v>10000</x:v>
      </x:c>
      <x:c r="H10" s="27" t="n">
        <x:f>MIN(H7,'Assumptions'!$I$52)</x:f>
        <x:v>10000</x:v>
      </x:c>
      <x:c r="I10" s="27" t="n">
        <x:f>MIN(I7,'Assumptions'!$I$52)</x:f>
        <x:v>10000</x:v>
      </x:c>
      <x:c r="J10" s="1"/>
      <x:c r="K10" s="1"/>
      <x:c r="L10" s="1"/>
    </x:row>
    <x:row r="11" ht="22" customHeight="1">
      <x:c r="A11" s="1"/>
      <x:c r="B11" s="1"/>
      <x:c r="C11" s="1" t="str">
        <x:v>Closing debt</x:v>
      </x:c>
      <x:c r="D11" s="28" t="n">
        <x:f>D7-D10</x:f>
        <x:v>590000</x:v>
      </x:c>
      <x:c r="E11" s="28" t="n">
        <x:f>E7-E10</x:f>
        <x:v>580000</x:v>
      </x:c>
      <x:c r="F11" s="28" t="n">
        <x:f>F7-F10</x:f>
        <x:v>570000</x:v>
      </x:c>
      <x:c r="G11" s="28" t="n">
        <x:f>G7-G10</x:f>
        <x:v>560000</x:v>
      </x:c>
      <x:c r="H11" s="28" t="n">
        <x:f>H7-H10</x:f>
        <x:v>550000</x:v>
      </x:c>
      <x:c r="I11" s="28" t="n">
        <x:f>I7-I10</x:f>
        <x:v>540000</x:v>
      </x:c>
      <x:c r="J11" s="1"/>
      <x:c r="K11" s="1"/>
      <x:c r="L11" s="1"/>
    </x:row>
    <x:row r="12" ht="22" customHeight="1">
      <x:c r="A12" s="1"/>
      <x:c r="B12" s="1"/>
      <x:c r="C12" s="1"/>
      <x:c r="D12" s="21"/>
      <x:c r="E12" s="21"/>
      <x:c r="F12" s="21"/>
      <x:c r="G12" s="21"/>
      <x:c r="H12" s="21"/>
      <x:c r="I12" s="21"/>
      <x:c r="J12" s="1"/>
      <x:c r="K12" s="1"/>
      <x:c r="L12" s="1"/>
    </x:row>
    <x:row r="13" ht="22" customHeight="1">
      <x:c r="A13" s="1"/>
      <x:c r="B13" s="1"/>
      <x:c r="C13" s="1"/>
      <x:c r="D13" s="21"/>
      <x:c r="E13" s="21"/>
      <x:c r="F13" s="21"/>
      <x:c r="G13" s="21"/>
      <x:c r="H13" s="21"/>
      <x:c r="I13" s="21"/>
      <x:c r="J13" s="1"/>
      <x:c r="K13" s="1"/>
      <x:c r="L13" s="1"/>
    </x:row>
    <x:row r="14" ht="22" customHeight="1">
      <x:c r="A14" s="1"/>
      <x:c r="B14" s="1"/>
      <x:c r="C14" s="1"/>
      <x:c r="D14" s="21"/>
      <x:c r="E14" s="21"/>
      <x:c r="F14" s="21"/>
      <x:c r="G14" s="21"/>
      <x:c r="H14" s="21"/>
      <x:c r="I14" s="21"/>
      <x:c r="J14" s="1"/>
      <x:c r="K14" s="1"/>
      <x:c r="L14" s="1"/>
    </x:row>
    <x:row r="15" ht="22" customHeight="1">
      <x:c r="A15" s="1"/>
      <x:c r="B15" s="1"/>
      <x:c r="C15" s="1"/>
      <x:c r="D15" s="21"/>
      <x:c r="E15" s="21"/>
      <x:c r="F15" s="21"/>
      <x:c r="G15" s="21"/>
      <x:c r="H15" s="21"/>
      <x:c r="I15" s="21"/>
      <x:c r="J15" s="1"/>
      <x:c r="K15" s="1"/>
      <x:c r="L15" s="1"/>
    </x:row>
    <x:row r="16" ht="22" customHeight="1">
      <x:c r="A16" s="1"/>
      <x:c r="B16" s="1"/>
      <x:c r="C16" s="1"/>
      <x:c r="D16" s="21"/>
      <x:c r="E16" s="21"/>
      <x:c r="F16" s="21"/>
      <x:c r="G16" s="21"/>
      <x:c r="H16" s="21"/>
      <x:c r="I16" s="21"/>
      <x:c r="J16" s="1"/>
      <x:c r="K16" s="1"/>
      <x:c r="L16" s="1"/>
    </x:row>
    <x:row r="17" ht="22" customHeight="1">
      <x:c r="A17" s="1"/>
      <x:c r="B17" s="1"/>
      <x:c r="C17" s="1"/>
      <x:c r="D17" s="21"/>
      <x:c r="E17" s="21"/>
      <x:c r="F17" s="21"/>
      <x:c r="G17" s="21"/>
      <x:c r="H17" s="21"/>
      <x:c r="I17" s="21"/>
      <x:c r="J17" s="1"/>
      <x:c r="K17" s="1"/>
      <x:c r="L17" s="1"/>
    </x:row>
    <x:row r="18" ht="22" customHeight="1">
      <x:c r="A18" s="1"/>
      <x:c r="B18" s="1"/>
      <x:c r="C18" s="1"/>
      <x:c r="D18" s="21"/>
      <x:c r="E18" s="21"/>
      <x:c r="F18" s="21"/>
      <x:c r="G18" s="21"/>
      <x:c r="H18" s="21"/>
      <x:c r="I18" s="21"/>
      <x:c r="J18" s="1"/>
      <x:c r="K18" s="1"/>
      <x:c r="L18" s="1"/>
    </x:row>
    <x:row r="19" ht="22" customHeight="1">
      <x:c r="A19" s="1"/>
      <x:c r="B19" s="1"/>
      <x:c r="C19" s="1"/>
      <x:c r="D19" s="21"/>
      <x:c r="E19" s="21"/>
      <x:c r="F19" s="21"/>
      <x:c r="G19" s="21"/>
      <x:c r="H19" s="21"/>
      <x:c r="I19" s="21"/>
      <x:c r="J19" s="1"/>
      <x:c r="K19" s="1"/>
      <x:c r="L19" s="1"/>
    </x:row>
    <x:row r="20" ht="22" customHeight="1">
      <x:c r="A20" s="1"/>
      <x:c r="B20" s="1"/>
      <x:c r="C20" s="1"/>
      <x:c r="D20" s="21"/>
      <x:c r="E20" s="21"/>
      <x:c r="F20" s="21"/>
      <x:c r="G20" s="21"/>
      <x:c r="H20" s="21"/>
      <x:c r="I20" s="21"/>
      <x:c r="J20" s="1"/>
      <x:c r="K20" s="1"/>
      <x:c r="L20" s="1"/>
    </x:row>
    <x:row r="21" ht="22" customHeight="1">
      <x:c r="A21" s="1"/>
      <x:c r="B21" s="1"/>
      <x:c r="C21" s="1"/>
      <x:c r="D21" s="21"/>
      <x:c r="E21" s="21"/>
      <x:c r="F21" s="21"/>
      <x:c r="G21" s="21"/>
      <x:c r="H21" s="21"/>
      <x:c r="I21" s="21"/>
      <x:c r="J21" s="1"/>
      <x:c r="K21" s="1"/>
      <x:c r="L21" s="1"/>
    </x:row>
    <x:row r="22" ht="22" customHeight="1">
      <x:c r="A22" s="1"/>
      <x:c r="B22" s="1"/>
      <x:c r="C22" s="1"/>
      <x:c r="D22" s="21"/>
      <x:c r="E22" s="21"/>
      <x:c r="F22" s="21"/>
      <x:c r="G22" s="21"/>
      <x:c r="H22" s="21"/>
      <x:c r="I22" s="21"/>
      <x:c r="J22" s="1"/>
      <x:c r="K22" s="1"/>
      <x:c r="L22" s="1"/>
    </x:row>
    <x:row r="23" ht="22" customHeight="1">
      <x:c r="A23" s="1"/>
      <x:c r="B23" s="1"/>
      <x:c r="C23" s="1"/>
      <x:c r="D23" s="21"/>
      <x:c r="E23" s="21"/>
      <x:c r="F23" s="21"/>
      <x:c r="G23" s="21"/>
      <x:c r="H23" s="21"/>
      <x:c r="I23" s="21"/>
      <x:c r="J23" s="1"/>
      <x:c r="K23" s="1"/>
      <x:c r="L23" s="1"/>
    </x:row>
    <x:row r="24" ht="22" customHeight="1">
      <x:c r="A24" s="1"/>
      <x:c r="B24" s="1"/>
      <x:c r="C24" s="1"/>
      <x:c r="D24" s="21"/>
      <x:c r="E24" s="21"/>
      <x:c r="F24" s="21"/>
      <x:c r="G24" s="21"/>
      <x:c r="H24" s="21"/>
      <x:c r="I24" s="21"/>
      <x:c r="J24" s="1"/>
      <x:c r="K24" s="1"/>
      <x:c r="L24" s="1"/>
    </x:row>
    <x:row r="25" ht="22" customHeight="1">
      <x:c r="A25" s="1"/>
      <x:c r="B25" s="1"/>
      <x:c r="C25" s="1"/>
      <x:c r="D25" s="21"/>
      <x:c r="E25" s="21"/>
      <x:c r="F25" s="21"/>
      <x:c r="G25" s="21"/>
      <x:c r="H25" s="21"/>
      <x:c r="I25" s="21"/>
      <x:c r="J25" s="1"/>
      <x:c r="K25" s="1"/>
      <x:c r="L25" s="1"/>
    </x:row>
    <x:row r="26" ht="22" customHeight="1">
      <x:c r="A26" s="1"/>
      <x:c r="B26" s="1"/>
      <x:c r="C26" s="1"/>
      <x:c r="D26" s="21"/>
      <x:c r="E26" s="21"/>
      <x:c r="F26" s="21"/>
      <x:c r="G26" s="21"/>
      <x:c r="H26" s="21"/>
      <x:c r="I26" s="21"/>
      <x:c r="J26" s="1"/>
      <x:c r="K26" s="1"/>
      <x:c r="L26" s="1"/>
    </x:row>
    <x:row r="27" ht="22" customHeight="1">
      <x:c r="A27" s="1"/>
      <x:c r="B27" s="1"/>
      <x:c r="C27" s="1"/>
      <x:c r="D27" s="21"/>
      <x:c r="E27" s="21"/>
      <x:c r="F27" s="21"/>
      <x:c r="G27" s="21"/>
      <x:c r="H27" s="21"/>
      <x:c r="I27" s="21"/>
      <x:c r="J27" s="1"/>
      <x:c r="K27" s="1"/>
      <x:c r="L27" s="1"/>
    </x:row>
    <x:row r="28" ht="22" customHeight="1">
      <x:c r="A28" s="1"/>
      <x:c r="B28" s="1"/>
      <x:c r="C28" s="1"/>
      <x:c r="D28" s="21"/>
      <x:c r="E28" s="21"/>
      <x:c r="F28" s="21"/>
      <x:c r="G28" s="21"/>
      <x:c r="H28" s="21"/>
      <x:c r="I28" s="21"/>
      <x:c r="J28" s="1"/>
      <x:c r="K28" s="1"/>
      <x:c r="L28" s="1"/>
    </x:row>
    <x:row r="29" ht="22" customHeight="1">
      <x:c r="A29" s="1"/>
      <x:c r="B29" s="1"/>
      <x:c r="C29" s="1"/>
      <x:c r="D29" s="21"/>
      <x:c r="E29" s="21"/>
      <x:c r="F29" s="21"/>
      <x:c r="G29" s="21"/>
      <x:c r="H29" s="21"/>
      <x:c r="I29" s="21"/>
      <x:c r="J29" s="1"/>
      <x:c r="K29" s="1"/>
      <x:c r="L29" s="1"/>
    </x:row>
    <x:row r="30" ht="22" customHeight="1">
      <x:c r="A30" s="1"/>
      <x:c r="B30" s="1"/>
      <x:c r="C30" s="1"/>
      <x:c r="D30" s="21"/>
      <x:c r="E30" s="21"/>
      <x:c r="F30" s="21"/>
      <x:c r="G30" s="21"/>
      <x:c r="H30" s="21"/>
      <x:c r="I30" s="21"/>
      <x:c r="J30" s="1"/>
      <x:c r="K30" s="1"/>
      <x:c r="L30" s="1"/>
    </x:row>
    <x:row r="31" ht="22" customHeight="1">
      <x:c r="A31" s="1"/>
      <x:c r="B31" s="1"/>
      <x:c r="C31" s="1"/>
      <x:c r="D31" s="21"/>
      <x:c r="E31" s="21"/>
      <x:c r="F31" s="21"/>
      <x:c r="G31" s="21"/>
      <x:c r="H31" s="21"/>
      <x:c r="I31" s="21"/>
      <x:c r="J31" s="1"/>
      <x:c r="K31" s="1"/>
      <x:c r="L31" s="1"/>
    </x:row>
    <x:row r="32" ht="22" customHeight="1">
      <x:c r="A32" s="1"/>
      <x:c r="B32" s="1"/>
      <x:c r="C32" s="1"/>
      <x:c r="D32" s="21"/>
      <x:c r="E32" s="21"/>
      <x:c r="F32" s="21"/>
      <x:c r="G32" s="21"/>
      <x:c r="H32" s="21"/>
      <x:c r="I32" s="21"/>
      <x:c r="J32" s="1"/>
      <x:c r="K32" s="1"/>
      <x:c r="L32" s="1"/>
    </x:row>
    <x:row r="33" ht="22" customHeight="1">
      <x:c r="A33" s="1"/>
      <x:c r="B33" s="1"/>
      <x:c r="C33" s="1"/>
      <x:c r="D33" s="21"/>
      <x:c r="E33" s="21"/>
      <x:c r="F33" s="21"/>
      <x:c r="G33" s="21"/>
      <x:c r="H33" s="21"/>
      <x:c r="I33" s="21"/>
      <x:c r="J33" s="1"/>
      <x:c r="K33" s="1"/>
      <x:c r="L33" s="1"/>
    </x:row>
    <x:row r="34" ht="22" customHeight="1">
      <x:c r="A34" s="1"/>
      <x:c r="B34" s="1"/>
      <x:c r="C34" s="1"/>
      <x:c r="D34" s="21"/>
      <x:c r="E34" s="21"/>
      <x:c r="F34" s="21"/>
      <x:c r="G34" s="21"/>
      <x:c r="H34" s="21"/>
      <x:c r="I34" s="21"/>
      <x:c r="J34" s="1"/>
      <x:c r="K34" s="1"/>
      <x:c r="L34" s="1"/>
    </x:row>
    <x:row r="35" ht="22" customHeight="1">
      <x:c r="A35" s="1"/>
      <x:c r="B35" s="1"/>
      <x:c r="C35" s="1"/>
      <x:c r="D35" s="21"/>
      <x:c r="E35" s="21"/>
      <x:c r="F35" s="21"/>
      <x:c r="G35" s="21"/>
      <x:c r="H35" s="21"/>
      <x:c r="I35" s="21"/>
      <x:c r="J35" s="1"/>
      <x:c r="K35" s="1"/>
      <x:c r="L35" s="1"/>
    </x:row>
    <x:row r="36" ht="22" customHeight="1">
      <x:c r="A36" s="1"/>
      <x:c r="B36" s="1"/>
      <x:c r="C36" s="1"/>
      <x:c r="D36" s="21"/>
      <x:c r="E36" s="21"/>
      <x:c r="F36" s="21"/>
      <x:c r="G36" s="21"/>
      <x:c r="H36" s="21"/>
      <x:c r="I36" s="21"/>
      <x:c r="J36" s="1"/>
      <x:c r="K36" s="1"/>
      <x:c r="L36" s="1"/>
    </x:row>
    <x:row r="37" ht="22" customHeight="1">
      <x:c r="A37" s="1"/>
      <x:c r="B37" s="1"/>
      <x:c r="C37" s="1"/>
      <x:c r="D37" s="21"/>
      <x:c r="E37" s="21"/>
      <x:c r="F37" s="21"/>
      <x:c r="G37" s="21"/>
      <x:c r="H37" s="21"/>
      <x:c r="I37" s="21"/>
      <x:c r="J37" s="1"/>
      <x:c r="K37" s="1"/>
      <x:c r="L37" s="1"/>
    </x:row>
    <x:row r="38" ht="22" customHeight="1">
      <x:c r="A38" s="1"/>
      <x:c r="B38" s="1"/>
      <x:c r="C38" s="1"/>
      <x:c r="D38" s="21"/>
      <x:c r="E38" s="21"/>
      <x:c r="F38" s="21"/>
      <x:c r="G38" s="21"/>
      <x:c r="H38" s="21"/>
      <x:c r="I38" s="21"/>
      <x:c r="J38" s="1"/>
      <x:c r="K38" s="1"/>
      <x:c r="L38" s="1"/>
    </x:row>
    <x:row r="39" ht="22" customHeight="1">
      <x:c r="A39" s="1"/>
      <x:c r="B39" s="1"/>
      <x:c r="C39" s="1"/>
      <x:c r="D39" s="21"/>
      <x:c r="E39" s="21"/>
      <x:c r="F39" s="21"/>
      <x:c r="G39" s="21"/>
      <x:c r="H39" s="21"/>
      <x:c r="I39" s="21"/>
      <x:c r="J39" s="1"/>
      <x:c r="K39" s="1"/>
      <x:c r="L39" s="1"/>
    </x:row>
    <x:row r="40" ht="22" customHeight="1">
      <x:c r="A40" s="1"/>
      <x:c r="B40" s="1"/>
      <x:c r="C40" s="1"/>
      <x:c r="D40" s="21"/>
      <x:c r="E40" s="21"/>
      <x:c r="F40" s="21"/>
      <x:c r="G40" s="21"/>
      <x:c r="H40" s="21"/>
      <x:c r="I40" s="21"/>
      <x:c r="J40" s="1"/>
      <x:c r="K40" s="1"/>
      <x:c r="L40" s="1"/>
    </x:row>
    <x:row r="41" ht="22" customHeight="1">
      <x:c r="A41" s="1"/>
      <x:c r="B41" s="1"/>
      <x:c r="C41" s="1"/>
      <x:c r="D41" s="21"/>
      <x:c r="E41" s="21"/>
      <x:c r="F41" s="21"/>
      <x:c r="G41" s="21"/>
      <x:c r="H41" s="21"/>
      <x:c r="I41" s="21"/>
      <x:c r="J41" s="1"/>
      <x:c r="K41" s="1"/>
      <x:c r="L41" s="1"/>
    </x:row>
    <x:row r="42" ht="22" customHeight="1">
      <x:c r="A42" s="1"/>
      <x:c r="B42" s="1"/>
      <x:c r="C42" s="1"/>
      <x:c r="D42" s="21"/>
      <x:c r="E42" s="21"/>
      <x:c r="F42" s="21"/>
      <x:c r="G42" s="21"/>
      <x:c r="H42" s="21"/>
      <x:c r="I42" s="21"/>
      <x:c r="J42" s="1"/>
      <x:c r="K42" s="1"/>
      <x:c r="L42" s="1"/>
    </x:row>
    <x:row r="43" ht="22" customHeight="1">
      <x:c r="A43" s="1"/>
      <x:c r="B43" s="1"/>
      <x:c r="C43" s="1"/>
      <x:c r="D43" s="21"/>
      <x:c r="E43" s="21"/>
      <x:c r="F43" s="21"/>
      <x:c r="G43" s="21"/>
      <x:c r="H43" s="21"/>
      <x:c r="I43" s="21"/>
      <x:c r="J43" s="1"/>
      <x:c r="K43" s="1"/>
      <x:c r="L43" s="1"/>
    </x:row>
    <x:row r="44" ht="22" customHeight="1">
      <x:c r="A44" s="1"/>
      <x:c r="B44" s="1"/>
      <x:c r="C44" s="1"/>
      <x:c r="D44" s="21"/>
      <x:c r="E44" s="21"/>
      <x:c r="F44" s="21"/>
      <x:c r="G44" s="21"/>
      <x:c r="H44" s="21"/>
      <x:c r="I44" s="21"/>
      <x:c r="J44" s="1"/>
      <x:c r="K44" s="1"/>
      <x:c r="L44" s="1"/>
    </x:row>
    <x:row r="45" ht="22" customHeight="1">
      <x:c r="A45" s="1"/>
      <x:c r="B45" s="1"/>
      <x:c r="C45" s="1"/>
      <x:c r="D45" s="21"/>
      <x:c r="E45" s="21"/>
      <x:c r="F45" s="21"/>
      <x:c r="G45" s="21"/>
      <x:c r="H45" s="21"/>
      <x:c r="I45" s="21"/>
      <x:c r="J45" s="1"/>
      <x:c r="K45" s="1"/>
      <x:c r="L45" s="1"/>
    </x:row>
    <x:row r="46" ht="22" customHeight="1">
      <x:c r="A46" s="1"/>
      <x:c r="B46" s="1"/>
      <x:c r="C46" s="1"/>
      <x:c r="D46" s="21"/>
      <x:c r="E46" s="21"/>
      <x:c r="F46" s="21"/>
      <x:c r="G46" s="21"/>
      <x:c r="H46" s="21"/>
      <x:c r="I46" s="21"/>
      <x:c r="J46" s="1"/>
      <x:c r="K46" s="1"/>
      <x:c r="L46" s="1"/>
    </x:row>
    <x:row r="47" ht="22" customHeight="1">
      <x:c r="A47" s="1"/>
      <x:c r="B47" s="1"/>
      <x:c r="C47" s="1"/>
      <x:c r="D47" s="21"/>
      <x:c r="E47" s="21"/>
      <x:c r="F47" s="21"/>
      <x:c r="G47" s="21"/>
      <x:c r="H47" s="21"/>
      <x:c r="I47" s="21"/>
      <x:c r="J47" s="1"/>
      <x:c r="K47" s="1"/>
      <x:c r="L47" s="1"/>
    </x:row>
    <x:row r="48" ht="22" customHeight="1">
      <x:c r="A48" s="1"/>
      <x:c r="B48" s="1"/>
      <x:c r="C48" s="1"/>
      <x:c r="D48" s="21"/>
      <x:c r="E48" s="21"/>
      <x:c r="F48" s="21"/>
      <x:c r="G48" s="21"/>
      <x:c r="H48" s="21"/>
      <x:c r="I48" s="21"/>
      <x:c r="J48" s="1"/>
      <x:c r="K48" s="1"/>
      <x:c r="L48" s="1"/>
    </x:row>
    <x:row r="49" ht="22" customHeight="1">
      <x:c r="A49" s="1"/>
      <x:c r="B49" s="1"/>
      <x:c r="C49" s="1"/>
      <x:c r="D49" s="21"/>
      <x:c r="E49" s="21"/>
      <x:c r="F49" s="21"/>
      <x:c r="G49" s="21"/>
      <x:c r="H49" s="21"/>
      <x:c r="I49" s="21"/>
      <x:c r="J49" s="1"/>
      <x:c r="K49" s="1"/>
      <x:c r="L49" s="1"/>
    </x:row>
    <x:row r="50" ht="22" customHeight="1">
      <x:c r="A50" s="1"/>
      <x:c r="B50" s="1"/>
      <x:c r="C50" s="1"/>
      <x:c r="D50" s="21"/>
      <x:c r="E50" s="21"/>
      <x:c r="F50" s="21"/>
      <x:c r="G50" s="21"/>
      <x:c r="H50" s="21"/>
      <x:c r="I50" s="21"/>
      <x:c r="J50" s="1"/>
      <x:c r="K50" s="1"/>
      <x:c r="L50" s="1"/>
    </x:row>
    <x:row r="51" ht="22" customHeight="1">
      <x:c r="A51" s="1"/>
      <x:c r="B51" s="1"/>
      <x:c r="C51" s="1"/>
      <x:c r="D51" s="21"/>
      <x:c r="E51" s="21"/>
      <x:c r="F51" s="21"/>
      <x:c r="G51" s="21"/>
      <x:c r="H51" s="21"/>
      <x:c r="I51" s="21"/>
      <x:c r="J51" s="1"/>
      <x:c r="K51" s="1"/>
      <x:c r="L51" s="1"/>
    </x:row>
    <x:row r="52" ht="22" customHeight="1">
      <x:c r="A52" s="1"/>
      <x:c r="B52" s="1"/>
      <x:c r="C52" s="1"/>
      <x:c r="D52" s="21"/>
      <x:c r="E52" s="21"/>
      <x:c r="F52" s="21"/>
      <x:c r="G52" s="21"/>
      <x:c r="H52" s="21"/>
      <x:c r="I52" s="21"/>
      <x:c r="J52" s="1"/>
      <x:c r="K52" s="1"/>
      <x:c r="L52" s="1"/>
    </x:row>
    <x:row r="53" ht="22" customHeight="1">
      <x:c r="A53" s="1"/>
      <x:c r="B53" s="1"/>
      <x:c r="C53" s="1"/>
      <x:c r="D53" s="21"/>
      <x:c r="E53" s="21"/>
      <x:c r="F53" s="21"/>
      <x:c r="G53" s="21"/>
      <x:c r="H53" s="21"/>
      <x:c r="I53" s="21"/>
      <x:c r="J53" s="1"/>
      <x:c r="K53" s="1"/>
      <x:c r="L53" s="1"/>
    </x:row>
    <x:row r="54" ht="22" customHeight="1">
      <x:c r="A54" s="1"/>
      <x:c r="B54" s="1"/>
      <x:c r="C54" s="1"/>
      <x:c r="D54" s="21"/>
      <x:c r="E54" s="21"/>
      <x:c r="F54" s="21"/>
      <x:c r="G54" s="21"/>
      <x:c r="H54" s="21"/>
      <x:c r="I54" s="21"/>
      <x:c r="J54" s="1"/>
      <x:c r="K54" s="1"/>
      <x:c r="L54" s="1"/>
    </x:row>
    <x:row r="55" ht="22" customHeight="1">
      <x:c r="A55" s="1"/>
      <x:c r="B55" s="1"/>
      <x:c r="C55" s="1"/>
      <x:c r="D55" s="21"/>
      <x:c r="E55" s="21"/>
      <x:c r="F55" s="21"/>
      <x:c r="G55" s="21"/>
      <x:c r="H55" s="21"/>
      <x:c r="I55" s="2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D4:F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Forecast statements and balance sheet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 t="str">
        <x:v>Case selected</x:v>
      </x:c>
      <x:c r="D4" s="7" t="str">
        <x:f>'Assumptions'!D4</x:f>
        <x:v>Base</x:v>
      </x:c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2" customHeight="1">
      <x:c r="A6" s="1"/>
      <x:c r="B6" s="1"/>
      <x:c r="C6" s="1"/>
      <x:c r="D6" s="20" t="d">
        <x:v>2026-07-01T00:00:00.000Z</x:v>
      </x:c>
      <x:c r="E6" s="20" t="d">
        <x:v>2026-08-01T00:00:00.000Z</x:v>
      </x:c>
      <x:c r="F6" s="20" t="d">
        <x:v>2026-09-01T00:00:00.000Z</x:v>
      </x:c>
      <x:c r="G6" s="20" t="d">
        <x:v>2026-10-01T00:00:00.000Z</x:v>
      </x:c>
      <x:c r="H6" s="20" t="d">
        <x:v>2026-11-01T00:00:00.000Z</x:v>
      </x:c>
      <x:c r="I6" s="20" t="d">
        <x:v>2026-12-01T00:00:00.000Z</x:v>
      </x:c>
      <x:c r="J6" s="1"/>
      <x:c r="K6" s="1"/>
      <x:c r="L6" s="1"/>
    </x:row>
    <x:row r="7" ht="22" customHeight="1">
      <x:c r="A7" s="1"/>
      <x:c r="B7" s="1"/>
      <x:c r="C7" s="1" t="str">
        <x:v>Revenue</x:v>
      </x:c>
      <x:c r="D7" s="21" t="n">
        <x:f>'Monthly'!J7</x:f>
        <x:v>910447.8928</x:v>
      </x:c>
      <x:c r="E7" s="21" t="n">
        <x:f>'Monthly'!K7</x:f>
        <x:v>965634.71293132</x:v>
      </x:c>
      <x:c r="F7" s="21" t="n">
        <x:f>'Monthly'!L7</x:f>
        <x:v>965846.2469509438</x:v>
      </x:c>
      <x:c r="G7" s="21" t="n">
        <x:f>'Monthly'!M7</x:f>
        <x:v>1063956.4777685371</x:v>
      </x:c>
      <x:c r="H7" s="21" t="n">
        <x:f>'Monthly'!N7</x:f>
        <x:v>1146725.4969682184</x:v>
      </x:c>
      <x:c r="I7" s="21" t="n">
        <x:f>'Monthly'!O7</x:f>
        <x:v>1223869.8783387616</x:v>
      </x:c>
      <x:c r="J7" s="1"/>
      <x:c r="K7" s="1"/>
      <x:c r="L7" s="1"/>
    </x:row>
    <x:row r="8" ht="22" customHeight="1">
      <x:c r="A8" s="1"/>
      <x:c r="B8" s="1"/>
      <x:c r="C8" s="1" t="str">
        <x:v>Variable costs</x:v>
      </x:c>
      <x:c r="D8" s="21" t="n">
        <x:f>'Monthly'!J8</x:f>
        <x:v>495857.2799999999</x:v>
      </x:c>
      <x:c r="E8" s="21" t="n">
        <x:f>'Monthly'!K8</x:f>
        <x:v>529540.9504375</x:v>
      </x:c>
      <x:c r="F8" s="21" t="n">
        <x:f>'Monthly'!L8</x:f>
        <x:v>533321.9622759373</x:v>
      </x:c>
      <x:c r="G8" s="21" t="n">
        <x:f>'Monthly'!M8</x:f>
        <x:v>591505.4678485779</x:v>
      </x:c>
      <x:c r="H8" s="21" t="n">
        <x:f>'Monthly'!N8</x:f>
        <x:v>641920.9002589112</x:v>
      </x:c>
      <x:c r="I8" s="21" t="n">
        <x:f>'Monthly'!O8</x:f>
        <x:v>689814.0344479048</x:v>
      </x:c>
      <x:c r="J8" s="1"/>
      <x:c r="K8" s="1"/>
      <x:c r="L8" s="1"/>
    </x:row>
    <x:row r="9" ht="22" customHeight="1">
      <x:c r="A9" s="1"/>
      <x:c r="B9" s="1"/>
      <x:c r="C9" s="1" t="str">
        <x:v>Fixed cost</x:v>
      </x:c>
      <x:c r="D9" s="21" t="n">
        <x:f>'Monthly'!J9</x:f>
        <x:v>210272.92874999996</x:v>
      </x:c>
      <x:c r="E9" s="21" t="n">
        <x:f>'Monthly'!K9</x:f>
        <x:v>212323.45522500004</x:v>
      </x:c>
      <x:c r="F9" s="21" t="n">
        <x:f>'Monthly'!L9</x:f>
        <x:v>214393.76689220505</x:v>
      </x:c>
      <x:c r="G9" s="21" t="n">
        <x:f>'Monthly'!M9</x:f>
        <x:v>216484.05299904558</x:v>
      </x:c>
      <x:c r="H9" s="21" t="n">
        <x:f>'Monthly'!N9</x:f>
        <x:v>218594.50458997808</x:v>
      </x:c>
      <x:c r="I9" s="21" t="n">
        <x:f>'Monthly'!O9</x:f>
        <x:v>220725.31452344428</x:v>
      </x:c>
      <x:c r="J9" s="1"/>
      <x:c r="K9" s="1"/>
      <x:c r="L9" s="1"/>
    </x:row>
    <x:row r="10" ht="22" customHeight="1">
      <x:c r="A10" s="1"/>
      <x:c r="B10" s="1"/>
      <x:c r="C10" s="1" t="str">
        <x:v>Opex</x:v>
      </x:c>
      <x:c r="D10" s="21" t="n">
        <x:f>'Monthly'!J10</x:f>
        <x:v>200650.32</x:v>
      </x:c>
      <x:c r="E10" s="21" t="n">
        <x:f>'Monthly'!K10</x:f>
        <x:v>205067.0016</x:v>
      </x:c>
      <x:c r="F10" s="21" t="n">
        <x:f>'Monthly'!L10</x:f>
        <x:v>209580.09033600002</x:v>
      </x:c>
      <x:c r="G10" s="21" t="n">
        <x:f>'Monthly'!M10</x:f>
        <x:v>214191.6758208</x:v>
      </x:c>
      <x:c r="H10" s="21" t="n">
        <x:f>'Monthly'!N10</x:f>
        <x:v>218903.89268885762</x:v>
      </x:c>
      <x:c r="I10" s="21" t="n">
        <x:f>'Monthly'!O10</x:f>
        <x:v>223718.9215613092</x:v>
      </x:c>
      <x:c r="J10" s="1"/>
      <x:c r="K10" s="1"/>
      <x:c r="L10" s="1"/>
    </x:row>
    <x:row r="11" ht="22" customHeight="1">
      <x:c r="A11" s="1"/>
      <x:c r="B11" s="1"/>
      <x:c r="C11" s="1" t="str">
        <x:v>EBITDA</x:v>
      </x:c>
      <x:c r="D11" s="21" t="n">
        <x:f>'Monthly'!J11</x:f>
        <x:v>3667.364050000062</x:v>
      </x:c>
      <x:c r="E11" s="21" t="n">
        <x:f>'Monthly'!K11</x:f>
        <x:v>18703.305668819987</x:v>
      </x:c>
      <x:c r="F11" s="21" t="n">
        <x:f>'Monthly'!L11</x:f>
        <x:v>8550.427446801477</x:v>
      </x:c>
      <x:c r="G11" s="21" t="n">
        <x:f>'Monthly'!M11</x:f>
        <x:v>41775.28110011376</x:v>
      </x:c>
      <x:c r="H11" s="21" t="n">
        <x:f>'Monthly'!N11</x:f>
        <x:v>67306.19943047158</x:v>
      </x:c>
      <x:c r="I11" s="21" t="n">
        <x:f>'Monthly'!O11</x:f>
        <x:v>89611.60780610342</x:v>
      </x:c>
      <x:c r="J11" s="1"/>
      <x:c r="K11" s="1"/>
      <x:c r="L11" s="1"/>
    </x:row>
    <x:row r="12" ht="22" customHeight="1">
      <x:c r="A12" s="1"/>
      <x:c r="B12" s="1"/>
      <x:c r="C12" s="1" t="str">
        <x:v>Existing asset depreciation</x:v>
      </x:c>
      <x:c r="D12" s="21" t="n">
        <x:f>MIN('Assumptions'!$I$58,MAX(0,'Assumptions'!$I$47-'Assumptions'!$I$48-0*'Assumptions'!$I$58))</x:f>
        <x:v>20000</x:v>
      </x:c>
      <x:c r="E12" s="21" t="n">
        <x:f>MIN('Assumptions'!$I$58,MAX(0,'Assumptions'!$I$47-'Assumptions'!$I$48-1*'Assumptions'!$I$58))</x:f>
        <x:v>20000</x:v>
      </x:c>
      <x:c r="F12" s="21" t="n">
        <x:f>MIN('Assumptions'!$I$58,MAX(0,'Assumptions'!$I$47-'Assumptions'!$I$48-2*'Assumptions'!$I$58))</x:f>
        <x:v>20000</x:v>
      </x:c>
      <x:c r="G12" s="21" t="n">
        <x:f>MIN('Assumptions'!$I$58,MAX(0,'Assumptions'!$I$47-'Assumptions'!$I$48-3*'Assumptions'!$I$58))</x:f>
        <x:v>20000</x:v>
      </x:c>
      <x:c r="H12" s="21" t="n">
        <x:f>MIN('Assumptions'!$I$58,MAX(0,'Assumptions'!$I$47-'Assumptions'!$I$48-4*'Assumptions'!$I$58))</x:f>
        <x:v>20000</x:v>
      </x:c>
      <x:c r="I12" s="21" t="n">
        <x:f>MIN('Assumptions'!$I$58,MAX(0,'Assumptions'!$I$47-'Assumptions'!$I$48-5*'Assumptions'!$I$58))</x:f>
        <x:v>20000</x:v>
      </x:c>
      <x:c r="J12" s="1"/>
      <x:c r="K12" s="1"/>
      <x:c r="L12" s="1"/>
    </x:row>
    <x:row r="13" ht="22" customHeight="1">
      <x:c r="A13" s="1"/>
      <x:c r="B13" s="1"/>
      <x:c r="C13" s="1" t="str">
        <x:v>New asset depreciation</x:v>
      </x:c>
      <x:c r="D13" s="21" t="n">
        <x:f>0</x:f>
        <x:v>0</x:v>
      </x:c>
      <x:c r="E13" s="21" t="n">
        <x:f>SUM(D32:D32)/'Assumptions'!$I$49</x:f>
        <x:v>416.6666666666667</x:v>
      </x:c>
      <x:c r="F13" s="21" t="n">
        <x:f>SUM(D32:E32)/'Assumptions'!$I$49</x:f>
        <x:v>833.3333333333334</x:v>
      </x:c>
      <x:c r="G13" s="21" t="n">
        <x:f>SUM(D32:F32)/'Assumptions'!$I$49</x:f>
        <x:v>1250</x:v>
      </x:c>
      <x:c r="H13" s="21" t="n">
        <x:f>SUM(D32:G32)/'Assumptions'!$I$49</x:f>
        <x:v>1666.6666666666667</x:v>
      </x:c>
      <x:c r="I13" s="21" t="n">
        <x:f>SUM(D32:H32)/'Assumptions'!$I$49</x:f>
        <x:v>2083.3333333333335</x:v>
      </x:c>
      <x:c r="J13" s="1"/>
      <x:c r="K13" s="1"/>
      <x:c r="L13" s="1"/>
    </x:row>
    <x:row r="14" ht="22" customHeight="1">
      <x:c r="A14" s="1"/>
      <x:c r="B14" s="1"/>
      <x:c r="C14" s="1" t="str">
        <x:v>Total depreciation</x:v>
      </x:c>
      <x:c r="D14" s="21" t="n">
        <x:f>SUM(D12:D13)</x:f>
        <x:v>20000</x:v>
      </x:c>
      <x:c r="E14" s="21" t="n">
        <x:f>SUM(E12:E13)</x:f>
        <x:v>20416.666666666668</x:v>
      </x:c>
      <x:c r="F14" s="21" t="n">
        <x:f>SUM(F12:F13)</x:f>
        <x:v>20833.333333333332</x:v>
      </x:c>
      <x:c r="G14" s="21" t="n">
        <x:f>SUM(G12:G13)</x:f>
        <x:v>21250</x:v>
      </x:c>
      <x:c r="H14" s="21" t="n">
        <x:f>SUM(H12:H13)</x:f>
        <x:v>21666.666666666668</x:v>
      </x:c>
      <x:c r="I14" s="21" t="n">
        <x:f>SUM(I12:I13)</x:f>
        <x:v>22083.333333333332</x:v>
      </x:c>
      <x:c r="J14" s="1"/>
      <x:c r="K14" s="1"/>
      <x:c r="L14" s="1"/>
    </x:row>
    <x:row r="15" ht="22" customHeight="1">
      <x:c r="A15" s="1"/>
      <x:c r="B15" s="1"/>
      <x:c r="C15" s="1" t="str">
        <x:v>EBIT</x:v>
      </x:c>
      <x:c r="D15" s="21" t="n">
        <x:f>D11-D14</x:f>
        <x:v>-16332.635949999938</x:v>
      </x:c>
      <x:c r="E15" s="21" t="n">
        <x:f>E11-E14</x:f>
        <x:v>-1713.3609978466811</x:v>
      </x:c>
      <x:c r="F15" s="21" t="n">
        <x:f>F11-F14</x:f>
        <x:v>-12282.905886531855</x:v>
      </x:c>
      <x:c r="G15" s="21" t="n">
        <x:f>G11-G14</x:f>
        <x:v>20525.28110011376</x:v>
      </x:c>
      <x:c r="H15" s="21" t="n">
        <x:f>H11-H14</x:f>
        <x:v>45639.532763804906</x:v>
      </x:c>
      <x:c r="I15" s="21" t="n">
        <x:f>I11-I14</x:f>
        <x:v>67528.27447277009</x:v>
      </x:c>
      <x:c r="J15" s="1"/>
      <x:c r="K15" s="1"/>
      <x:c r="L15" s="1"/>
    </x:row>
    <x:row r="16" ht="22" customHeight="1">
      <x:c r="A16" s="1"/>
      <x:c r="B16" s="1"/>
      <x:c r="C16" s="1" t="str">
        <x:v>Interest expense</x:v>
      </x:c>
      <x:c r="D16" s="21" t="n">
        <x:f>'Debt'!D9</x:f>
        <x:v>4000</x:v>
      </x:c>
      <x:c r="E16" s="21" t="n">
        <x:f>'Debt'!E9</x:f>
        <x:v>3933.3333333333335</x:v>
      </x:c>
      <x:c r="F16" s="21" t="n">
        <x:f>'Debt'!F9</x:f>
        <x:v>3866.6666666666665</x:v>
      </x:c>
      <x:c r="G16" s="21" t="n">
        <x:f>'Debt'!G9</x:f>
        <x:v>3800</x:v>
      </x:c>
      <x:c r="H16" s="21" t="n">
        <x:f>'Debt'!H9</x:f>
        <x:v>3733.3333333333335</x:v>
      </x:c>
      <x:c r="I16" s="21" t="n">
        <x:f>'Debt'!I9</x:f>
        <x:v>3666.6666666666665</x:v>
      </x:c>
      <x:c r="J16" s="1"/>
      <x:c r="K16" s="1"/>
      <x:c r="L16" s="1"/>
    </x:row>
    <x:row r="17" ht="22" customHeight="1">
      <x:c r="A17" s="1"/>
      <x:c r="B17" s="1"/>
      <x:c r="C17" s="1" t="str">
        <x:v>Pretax income</x:v>
      </x:c>
      <x:c r="D17" s="21" t="n">
        <x:f>D15-D16</x:f>
        <x:v>-20332.635949999938</x:v>
      </x:c>
      <x:c r="E17" s="21" t="n">
        <x:f>E15-E16</x:f>
        <x:v>-5646.694331180015</x:v>
      </x:c>
      <x:c r="F17" s="21" t="n">
        <x:f>F15-F16</x:f>
        <x:v>-16149.57255319852</x:v>
      </x:c>
      <x:c r="G17" s="21" t="n">
        <x:f>G15-G16</x:f>
        <x:v>16725.28110011376</x:v>
      </x:c>
      <x:c r="H17" s="21" t="n">
        <x:f>H15-H16</x:f>
        <x:v>41906.19943047157</x:v>
      </x:c>
      <x:c r="I17" s="21" t="n">
        <x:f>I15-I16</x:f>
        <x:v>63861.60780610343</x:v>
      </x:c>
      <x:c r="J17" s="1"/>
      <x:c r="K17" s="1"/>
      <x:c r="L17" s="1"/>
    </x:row>
    <x:row r="18" ht="22" customHeight="1">
      <x:c r="A18" s="1"/>
      <x:c r="B18" s="1"/>
      <x:c r="C18" s="1" t="str">
        <x:v>Opening tax losses</x:v>
      </x:c>
      <x:c r="D18" s="21" t="n">
        <x:f>'Assumptions'!I54</x:f>
        <x:v>0</x:v>
      </x:c>
      <x:c r="E18" s="21" t="n">
        <x:f>D22</x:f>
        <x:v>20332.635949999938</x:v>
      </x:c>
      <x:c r="F18" s="21" t="n">
        <x:f>E22</x:f>
        <x:v>25979.33028117995</x:v>
      </x:c>
      <x:c r="G18" s="21" t="n">
        <x:f>F22</x:f>
        <x:v>42128.902834378474</x:v>
      </x:c>
      <x:c r="H18" s="21" t="n">
        <x:f>G22</x:f>
        <x:v>25403.621734264714</x:v>
      </x:c>
      <x:c r="I18" s="21" t="n">
        <x:f>H22</x:f>
        <x:v>0</x:v>
      </x:c>
      <x:c r="J18" s="1"/>
      <x:c r="K18" s="1"/>
      <x:c r="L18" s="1"/>
    </x:row>
    <x:row r="19" ht="22" customHeight="1">
      <x:c r="A19" s="1"/>
      <x:c r="B19" s="1"/>
      <x:c r="C19" s="1" t="str">
        <x:v>Tax losses used</x:v>
      </x:c>
      <x:c r="D19" s="21" t="n">
        <x:f>MIN(D18,MAX(0,D17))</x:f>
        <x:v>0</x:v>
      </x:c>
      <x:c r="E19" s="21" t="n">
        <x:f>MIN(E18,MAX(0,E17))</x:f>
        <x:v>0</x:v>
      </x:c>
      <x:c r="F19" s="21" t="n">
        <x:f>MIN(F18,MAX(0,F17))</x:f>
        <x:v>0</x:v>
      </x:c>
      <x:c r="G19" s="21" t="n">
        <x:f>MIN(G18,MAX(0,G17))</x:f>
        <x:v>16725.28110011376</x:v>
      </x:c>
      <x:c r="H19" s="21" t="n">
        <x:f>MIN(H18,MAX(0,H17))</x:f>
        <x:v>25403.621734264714</x:v>
      </x:c>
      <x:c r="I19" s="21" t="n">
        <x:f>MIN(I18,MAX(0,I17))</x:f>
        <x:v>0</x:v>
      </x:c>
      <x:c r="J19" s="1"/>
      <x:c r="K19" s="1"/>
      <x:c r="L19" s="1"/>
    </x:row>
    <x:row r="20" ht="22" customHeight="1">
      <x:c r="A20" s="1"/>
      <x:c r="B20" s="1"/>
      <x:c r="C20" s="1" t="str">
        <x:v>Taxable income</x:v>
      </x:c>
      <x:c r="D20" s="21" t="n">
        <x:f>MAX(0,D17-D19)</x:f>
        <x:v>0</x:v>
      </x:c>
      <x:c r="E20" s="21" t="n">
        <x:f>MAX(0,E17-E19)</x:f>
        <x:v>0</x:v>
      </x:c>
      <x:c r="F20" s="21" t="n">
        <x:f>MAX(0,F17-F19)</x:f>
        <x:v>0</x:v>
      </x:c>
      <x:c r="G20" s="21" t="n">
        <x:f>MAX(0,G17-G19)</x:f>
        <x:v>0</x:v>
      </x:c>
      <x:c r="H20" s="21" t="n">
        <x:f>MAX(0,H17-H19)</x:f>
        <x:v>16502.577696206856</x:v>
      </x:c>
      <x:c r="I20" s="21" t="n">
        <x:f>MAX(0,I17-I19)</x:f>
        <x:v>63861.60780610343</x:v>
      </x:c>
      <x:c r="J20" s="1"/>
      <x:c r="K20" s="1"/>
      <x:c r="L20" s="1"/>
    </x:row>
    <x:row r="21" ht="22" customHeight="1">
      <x:c r="A21" s="1"/>
      <x:c r="B21" s="1"/>
      <x:c r="C21" s="1" t="str">
        <x:v>Cash tax / expense</x:v>
      </x:c>
      <x:c r="D21" s="21" t="n">
        <x:f>D20*'Assumptions'!$I$55</x:f>
        <x:v>0</x:v>
      </x:c>
      <x:c r="E21" s="21" t="n">
        <x:f>E20*'Assumptions'!$I$55</x:f>
        <x:v>0</x:v>
      </x:c>
      <x:c r="F21" s="21" t="n">
        <x:f>F20*'Assumptions'!$I$55</x:f>
        <x:v>0</x:v>
      </x:c>
      <x:c r="G21" s="21" t="n">
        <x:f>G20*'Assumptions'!$I$55</x:f>
        <x:v>0</x:v>
      </x:c>
      <x:c r="H21" s="21" t="n">
        <x:f>H20*'Assumptions'!$I$55</x:f>
        <x:v>4125.644424051714</x:v>
      </x:c>
      <x:c r="I21" s="21" t="n">
        <x:f>I20*'Assumptions'!$I$55</x:f>
        <x:v>15965.401951525857</x:v>
      </x:c>
      <x:c r="J21" s="1"/>
      <x:c r="K21" s="1"/>
      <x:c r="L21" s="1"/>
    </x:row>
    <x:row r="22" ht="22" customHeight="1">
      <x:c r="A22" s="1"/>
      <x:c r="B22" s="1"/>
      <x:c r="C22" s="1" t="str">
        <x:v>Closing tax losses</x:v>
      </x:c>
      <x:c r="D22" s="21" t="n">
        <x:f>D18-D19+MAX(0,-D17)</x:f>
        <x:v>20332.635949999938</x:v>
      </x:c>
      <x:c r="E22" s="21" t="n">
        <x:f>E18-E19+MAX(0,-E17)</x:f>
        <x:v>25979.33028117995</x:v>
      </x:c>
      <x:c r="F22" s="21" t="n">
        <x:f>F18-F19+MAX(0,-F17)</x:f>
        <x:v>42128.902834378474</x:v>
      </x:c>
      <x:c r="G22" s="21" t="n">
        <x:f>G18-G19+MAX(0,-G17)</x:f>
        <x:v>25403.621734264714</x:v>
      </x:c>
      <x:c r="H22" s="21" t="n">
        <x:f>H18-H19+MAX(0,-H17)</x:f>
        <x:v>0</x:v>
      </x:c>
      <x:c r="I22" s="21" t="n">
        <x:f>I18-I19+MAX(0,-I17)</x:f>
        <x:v>0</x:v>
      </x:c>
      <x:c r="J22" s="1"/>
      <x:c r="K22" s="1"/>
      <x:c r="L22" s="1"/>
    </x:row>
    <x:row r="23" ht="22" customHeight="1">
      <x:c r="A23" s="1"/>
      <x:c r="B23" s="1"/>
      <x:c r="C23" s="1" t="str">
        <x:v>Net income</x:v>
      </x:c>
      <x:c r="D23" s="21" t="n">
        <x:f>D17-D21</x:f>
        <x:v>-20332.635949999938</x:v>
      </x:c>
      <x:c r="E23" s="21" t="n">
        <x:f>E17-E21</x:f>
        <x:v>-5646.694331180015</x:v>
      </x:c>
      <x:c r="F23" s="21" t="n">
        <x:f>F17-F21</x:f>
        <x:v>-16149.57255319852</x:v>
      </x:c>
      <x:c r="G23" s="21" t="n">
        <x:f>G17-G21</x:f>
        <x:v>16725.28110011376</x:v>
      </x:c>
      <x:c r="H23" s="21" t="n">
        <x:f>H17-H21</x:f>
        <x:v>37780.555006419854</x:v>
      </x:c>
      <x:c r="I23" s="21" t="n">
        <x:f>I17-I21</x:f>
        <x:v>47896.20585457757</x:v>
      </x:c>
      <x:c r="J23" s="1"/>
      <x:c r="K23" s="1"/>
      <x:c r="L23" s="1"/>
    </x:row>
    <x:row r="24" ht="22" customHeight="1">
      <x:c r="A24" s="1"/>
      <x:c r="B24" s="1"/>
      <x:c r="C24" s="1"/>
      <x:c r="D24" s="21"/>
      <x:c r="E24" s="21"/>
      <x:c r="F24" s="21"/>
      <x:c r="G24" s="21"/>
      <x:c r="H24" s="21"/>
      <x:c r="I24" s="21"/>
      <x:c r="J24" s="1"/>
      <x:c r="K24" s="1"/>
      <x:c r="L24" s="1"/>
    </x:row>
    <x:row r="25" ht="22" customHeight="1">
      <x:c r="A25" s="1"/>
      <x:c r="B25" s="1"/>
      <x:c r="C25" s="1"/>
      <x:c r="D25" s="21"/>
      <x:c r="E25" s="21"/>
      <x:c r="F25" s="21"/>
      <x:c r="G25" s="21"/>
      <x:c r="H25" s="21"/>
      <x:c r="I25" s="21"/>
      <x:c r="J25" s="1"/>
      <x:c r="K25" s="1"/>
      <x:c r="L25" s="1"/>
    </x:row>
    <x:row r="26" ht="22" customHeight="1">
      <x:c r="A26" s="1"/>
      <x:c r="B26" s="1"/>
      <x:c r="C26" s="1" t="str">
        <x:v>Opening cash</x:v>
      </x:c>
      <x:c r="D26" s="21" t="n">
        <x:f>'Assumptions'!I56</x:f>
        <x:v>500000</x:v>
      </x:c>
      <x:c r="E26" s="21" t="n">
        <x:f>D35</x:f>
        <x:v>279760.08444999997</x:v>
      </x:c>
      <x:c r="F26" s="21" t="n">
        <x:f>E35</x:f>
        <x:v>613936.9876257466</x:v>
      </x:c>
      <x:c r="G26" s="21" t="n">
        <x:f>F35</x:f>
        <x:v>579833.9217972502</x:v>
      </x:c>
      <x:c r="H26" s="21" t="n">
        <x:f>G35</x:f>
        <x:v>538297.129168527</x:v>
      </x:c>
      <x:c r="I26" s="21" t="n">
        <x:f>H35</x:f>
        <x:v>516064.2795652597</x:v>
      </x:c>
      <x:c r="J26" s="1"/>
      <x:c r="K26" s="1"/>
      <x:c r="L26" s="1"/>
    </x:row>
    <x:row r="27" ht="22" customHeight="1">
      <x:c r="A27" s="1"/>
      <x:c r="B27" s="1"/>
      <x:c r="C27" s="1" t="str">
        <x:v>Net income</x:v>
      </x:c>
      <x:c r="D27" s="21" t="n">
        <x:f>D23</x:f>
        <x:v>-20332.635949999938</x:v>
      </x:c>
      <x:c r="E27" s="21" t="n">
        <x:f>E23</x:f>
        <x:v>-5646.694331180015</x:v>
      </x:c>
      <x:c r="F27" s="21" t="n">
        <x:f>F23</x:f>
        <x:v>-16149.57255319852</x:v>
      </x:c>
      <x:c r="G27" s="21" t="n">
        <x:f>G23</x:f>
        <x:v>16725.28110011376</x:v>
      </x:c>
      <x:c r="H27" s="21" t="n">
        <x:f>H23</x:f>
        <x:v>37780.555006419854</x:v>
      </x:c>
      <x:c r="I27" s="21" t="n">
        <x:f>I23</x:f>
        <x:v>47896.20585457757</x:v>
      </x:c>
      <x:c r="J27" s="1"/>
      <x:c r="K27" s="1"/>
      <x:c r="L27" s="1"/>
    </x:row>
    <x:row r="28" ht="22" customHeight="1">
      <x:c r="A28" s="1"/>
      <x:c r="B28" s="1"/>
      <x:c r="C28" s="1" t="str">
        <x:v>Depreciation add-back</x:v>
      </x:c>
      <x:c r="D28" s="21" t="n">
        <x:f>D14</x:f>
        <x:v>20000</x:v>
      </x:c>
      <x:c r="E28" s="21" t="n">
        <x:f>E14</x:f>
        <x:v>20416.666666666668</x:v>
      </x:c>
      <x:c r="F28" s="21" t="n">
        <x:f>F14</x:f>
        <x:v>20833.333333333332</x:v>
      </x:c>
      <x:c r="G28" s="21" t="n">
        <x:f>G14</x:f>
        <x:v>21250</x:v>
      </x:c>
      <x:c r="H28" s="21" t="n">
        <x:f>H14</x:f>
        <x:v>21666.666666666668</x:v>
      </x:c>
      <x:c r="I28" s="21" t="n">
        <x:f>I14</x:f>
        <x:v>22083.333333333332</x:v>
      </x:c>
      <x:c r="J28" s="1"/>
      <x:c r="K28" s="1"/>
      <x:c r="L28" s="1"/>
    </x:row>
    <x:row r="29" ht="22" customHeight="1">
      <x:c r="A29" s="1"/>
      <x:c r="B29" s="1"/>
      <x:c r="C29" s="1" t="str">
        <x:v>Change in AR</x:v>
      </x:c>
      <x:c r="D29" s="21" t="n">
        <x:f>'Working Capital'!D14-'Working Capital'!D13</x:f>
        <x:v>132835.91960000014</x:v>
      </x:c>
      <x:c r="E29" s="21" t="n">
        <x:f>'Working Capital'!E14-'Working Capital'!E13</x:f>
        <x:v>-337565.09562150994</x:v>
      </x:c>
      <x:c r="F29" s="21" t="n">
        <x:f>'Working Capital'!F14-'Working Capital'!F13</x:f>
        <x:v>5677.33252784994</x:v>
      </x:c>
      <x:c r="G29" s="21" t="n">
        <x:f>'Working Capital'!G14-'Working Capital'!G13</x:f>
        <x:v>73603.82651515724</x:v>
      </x:c>
      <x:c r="H29" s="21" t="n">
        <x:f>'Working Capital'!H14-'Working Capital'!H13</x:f>
        <x:v>71887.78748152044</x:v>
      </x:c>
      <x:c r="I29" s="21" t="n">
        <x:f>'Working Capital'!I14-'Working Capital'!I13</x:f>
        <x:v>66135.18794787559</x:v>
      </x:c>
      <x:c r="J29" s="1"/>
      <x:c r="K29" s="1"/>
      <x:c r="L29" s="1"/>
    </x:row>
    <x:row r="30" ht="22" customHeight="1">
      <x:c r="A30" s="1"/>
      <x:c r="B30" s="1"/>
      <x:c r="C30" s="1" t="str">
        <x:v>Change in AP</x:v>
      </x:c>
      <x:c r="D30" s="21" t="n">
        <x:f>'Working Capital'!D22-'Working Capital'!D21</x:f>
        <x:v>-52071.359999999986</x:v>
      </x:c>
      <x:c r="E30" s="21" t="n">
        <x:f>'Working Capital'!E22-'Working Capital'!E21</x:f>
        <x:v>16841.835218750057</x:v>
      </x:c>
      <x:c r="F30" s="21" t="n">
        <x:f>'Working Capital'!F22-'Working Capital'!F21</x:f>
        <x:v>1890.5059192186454</x:v>
      </x:c>
      <x:c r="G30" s="21" t="n">
        <x:f>'Working Capital'!G22-'Working Capital'!G21</x:f>
        <x:v>29091.752786320285</x:v>
      </x:c>
      <x:c r="H30" s="21" t="n">
        <x:f>'Working Capital'!H22-'Working Capital'!H21</x:f>
        <x:v>25207.716205166653</x:v>
      </x:c>
      <x:c r="I30" s="21" t="n">
        <x:f>'Working Capital'!I22-'Working Capital'!I21</x:f>
        <x:v>23946.5670944968</x:v>
      </x:c>
      <x:c r="J30" s="1"/>
      <x:c r="K30" s="1"/>
      <x:c r="L30" s="1"/>
    </x:row>
    <x:row r="31" ht="22" customHeight="1">
      <x:c r="A31" s="1"/>
      <x:c r="B31" s="1"/>
      <x:c r="C31" s="1" t="str">
        <x:v>Operating cash flow</x:v>
      </x:c>
      <x:c r="D31" s="21" t="n">
        <x:f>SUM(D27:D28)-D29+D30</x:f>
        <x:v>-185239.91555000006</x:v>
      </x:c>
      <x:c r="E31" s="21" t="n">
        <x:f>SUM(E27:E28)-E29+E30</x:f>
        <x:v>369176.9031757467</x:v>
      </x:c>
      <x:c r="F31" s="21" t="n">
        <x:f>SUM(F27:F28)-F29+F30</x:f>
        <x:v>896.9341715035171</x:v>
      </x:c>
      <x:c r="G31" s="21" t="n">
        <x:f>SUM(G27:G28)-G29+G30</x:f>
        <x:v>-6536.792628723197</x:v>
      </x:c>
      <x:c r="H31" s="21" t="n">
        <x:f>SUM(H27:H28)-H29+H30</x:f>
        <x:v>12767.15039673273</x:v>
      </x:c>
      <x:c r="I31" s="21" t="n">
        <x:f>SUM(I27:I28)-I29+I30</x:f>
        <x:v>27790.91833453212</x:v>
      </x:c>
      <x:c r="J31" s="1"/>
      <x:c r="K31" s="1"/>
      <x:c r="L31" s="1"/>
    </x:row>
    <x:row r="32" ht="22" customHeight="1">
      <x:c r="A32" s="1"/>
      <x:c r="B32" s="1"/>
      <x:c r="C32" s="1" t="str">
        <x:v>Cash capex</x:v>
      </x:c>
      <x:c r="D32" s="21" t="n">
        <x:f>'Assumptions'!$I$57</x:f>
        <x:v>25000</x:v>
      </x:c>
      <x:c r="E32" s="21" t="n">
        <x:f>'Assumptions'!$I$57</x:f>
        <x:v>25000</x:v>
      </x:c>
      <x:c r="F32" s="21" t="n">
        <x:f>'Assumptions'!$I$57</x:f>
        <x:v>25000</x:v>
      </x:c>
      <x:c r="G32" s="21" t="n">
        <x:f>'Assumptions'!$I$57</x:f>
        <x:v>25000</x:v>
      </x:c>
      <x:c r="H32" s="21" t="n">
        <x:f>'Assumptions'!$I$57</x:f>
        <x:v>25000</x:v>
      </x:c>
      <x:c r="I32" s="21" t="n">
        <x:f>'Assumptions'!$I$57</x:f>
        <x:v>25000</x:v>
      </x:c>
      <x:c r="J32" s="1"/>
      <x:c r="K32" s="1"/>
      <x:c r="L32" s="1"/>
    </x:row>
    <x:row r="33" ht="22" customHeight="1">
      <x:c r="A33" s="1"/>
      <x:c r="B33" s="1"/>
      <x:c r="C33" s="1" t="str">
        <x:v>Debt principal repayment</x:v>
      </x:c>
      <x:c r="D33" s="21" t="n">
        <x:f>'Debt'!D10</x:f>
        <x:v>10000</x:v>
      </x:c>
      <x:c r="E33" s="21" t="n">
        <x:f>'Debt'!E10</x:f>
        <x:v>10000</x:v>
      </x:c>
      <x:c r="F33" s="21" t="n">
        <x:f>'Debt'!F10</x:f>
        <x:v>10000</x:v>
      </x:c>
      <x:c r="G33" s="21" t="n">
        <x:f>'Debt'!G10</x:f>
        <x:v>10000</x:v>
      </x:c>
      <x:c r="H33" s="21" t="n">
        <x:f>'Debt'!H10</x:f>
        <x:v>10000</x:v>
      </x:c>
      <x:c r="I33" s="21" t="n">
        <x:f>'Debt'!I10</x:f>
        <x:v>10000</x:v>
      </x:c>
      <x:c r="J33" s="1"/>
      <x:c r="K33" s="1"/>
      <x:c r="L33" s="1"/>
    </x:row>
    <x:row r="34" ht="22" customHeight="1">
      <x:c r="A34" s="1"/>
      <x:c r="B34" s="1"/>
      <x:c r="C34" s="1" t="str">
        <x:v>Net change in cash</x:v>
      </x:c>
      <x:c r="D34" s="21" t="n">
        <x:f>D31-SUM(D32:D33)</x:f>
        <x:v>-220239.91555000006</x:v>
      </x:c>
      <x:c r="E34" s="21" t="n">
        <x:f>E31-SUM(E32:E33)</x:f>
        <x:v>334176.9031757467</x:v>
      </x:c>
      <x:c r="F34" s="21" t="n">
        <x:f>F31-SUM(F32:F33)</x:f>
        <x:v>-34103.06582849648</x:v>
      </x:c>
      <x:c r="G34" s="21" t="n">
        <x:f>G31-SUM(G32:G33)</x:f>
        <x:v>-41536.7926287232</x:v>
      </x:c>
      <x:c r="H34" s="21" t="n">
        <x:f>H31-SUM(H32:H33)</x:f>
        <x:v>-22232.84960326727</x:v>
      </x:c>
      <x:c r="I34" s="21" t="n">
        <x:f>I31-SUM(I32:I33)</x:f>
        <x:v>-7209.081665467878</x:v>
      </x:c>
      <x:c r="J34" s="1"/>
      <x:c r="K34" s="1"/>
      <x:c r="L34" s="1"/>
    </x:row>
    <x:row r="35" ht="22" customHeight="1">
      <x:c r="A35" s="1"/>
      <x:c r="B35" s="1"/>
      <x:c r="C35" s="1" t="str">
        <x:v>Closing cash</x:v>
      </x:c>
      <x:c r="D35" s="21" t="n">
        <x:f>SUM(D26,D34)</x:f>
        <x:v>279760.08444999997</x:v>
      </x:c>
      <x:c r="E35" s="21" t="n">
        <x:f>SUM(E26,E34)</x:f>
        <x:v>613936.9876257466</x:v>
      </x:c>
      <x:c r="F35" s="21" t="n">
        <x:f>SUM(F26,F34)</x:f>
        <x:v>579833.9217972502</x:v>
      </x:c>
      <x:c r="G35" s="21" t="n">
        <x:f>SUM(G26,G34)</x:f>
        <x:v>538297.129168527</x:v>
      </x:c>
      <x:c r="H35" s="21" t="n">
        <x:f>SUM(H26,H34)</x:f>
        <x:v>516064.2795652597</x:v>
      </x:c>
      <x:c r="I35" s="21" t="n">
        <x:f>SUM(I26,I34)</x:f>
        <x:v>508855.1978997918</x:v>
      </x:c>
      <x:c r="J35" s="1"/>
      <x:c r="K35" s="1"/>
      <x:c r="L35" s="1"/>
    </x:row>
    <x:row r="36" ht="22" customHeight="1">
      <x:c r="A36" s="1"/>
      <x:c r="B36" s="1"/>
      <x:c r="C36" s="1"/>
      <x:c r="D36" s="21"/>
      <x:c r="E36" s="21"/>
      <x:c r="F36" s="21"/>
      <x:c r="G36" s="21"/>
      <x:c r="H36" s="21"/>
      <x:c r="I36" s="21"/>
      <x:c r="J36" s="1"/>
      <x:c r="K36" s="1"/>
      <x:c r="L36" s="1"/>
    </x:row>
    <x:row r="37" ht="22" customHeight="1">
      <x:c r="A37" s="1"/>
      <x:c r="B37" s="1"/>
      <x:c r="C37" s="1"/>
      <x:c r="D37" s="21"/>
      <x:c r="E37" s="21"/>
      <x:c r="F37" s="21"/>
      <x:c r="G37" s="21"/>
      <x:c r="H37" s="21"/>
      <x:c r="I37" s="21"/>
      <x:c r="J37" s="1"/>
      <x:c r="K37" s="1"/>
      <x:c r="L37" s="1"/>
    </x:row>
    <x:row r="38" ht="22" customHeight="1">
      <x:c r="A38" s="1"/>
      <x:c r="B38" s="1"/>
      <x:c r="C38" s="1" t="str">
        <x:v>Cash</x:v>
      </x:c>
      <x:c r="D38" s="21" t="n">
        <x:f>D35</x:f>
        <x:v>279760.08444999997</x:v>
      </x:c>
      <x:c r="E38" s="21" t="n">
        <x:f>E35</x:f>
        <x:v>613936.9876257466</x:v>
      </x:c>
      <x:c r="F38" s="21" t="n">
        <x:f>F35</x:f>
        <x:v>579833.9217972502</x:v>
      </x:c>
      <x:c r="G38" s="21" t="n">
        <x:f>G35</x:f>
        <x:v>538297.129168527</x:v>
      </x:c>
      <x:c r="H38" s="21" t="n">
        <x:f>H35</x:f>
        <x:v>516064.2795652597</x:v>
      </x:c>
      <x:c r="I38" s="21" t="n">
        <x:f>I35</x:f>
        <x:v>508855.1978997918</x:v>
      </x:c>
      <x:c r="J38" s="1"/>
      <x:c r="K38" s="1"/>
      <x:c r="L38" s="1"/>
    </x:row>
    <x:row r="39" ht="22" customHeight="1">
      <x:c r="A39" s="1"/>
      <x:c r="B39" s="1"/>
      <x:c r="C39" s="1" t="str">
        <x:v>AR</x:v>
      </x:c>
      <x:c r="D39" s="21" t="n">
        <x:f>'Working Capital'!D14</x:f>
        <x:v>1152835.9196000001</x:v>
      </x:c>
      <x:c r="E39" s="21" t="n">
        <x:f>'Working Capital'!E14</x:f>
        <x:v>815270.8239784902</x:v>
      </x:c>
      <x:c r="F39" s="21" t="n">
        <x:f>'Working Capital'!F14</x:f>
        <x:v>820948.1565063401</x:v>
      </x:c>
      <x:c r="G39" s="21" t="n">
        <x:f>'Working Capital'!G14</x:f>
        <x:v>894551.9830214974</x:v>
      </x:c>
      <x:c r="H39" s="21" t="n">
        <x:f>'Working Capital'!H14</x:f>
        <x:v>966439.7705030178</x:v>
      </x:c>
      <x:c r="I39" s="21" t="n">
        <x:f>'Working Capital'!I14</x:f>
        <x:v>1032574.9584508934</x:v>
      </x:c>
      <x:c r="J39" s="1"/>
      <x:c r="K39" s="1"/>
      <x:c r="L39" s="1"/>
    </x:row>
    <x:row r="40" ht="22" customHeight="1">
      <x:c r="A40" s="1"/>
      <x:c r="B40" s="1"/>
      <x:c r="C40" s="1" t="str">
        <x:v>Gross PP&amp;E</x:v>
      </x:c>
      <x:c r="D40" s="21" t="n">
        <x:f>'Assumptions'!I47+D32</x:f>
        <x:v>1225000</x:v>
      </x:c>
      <x:c r="E40" s="21" t="n">
        <x:f>D40+E32</x:f>
        <x:v>1250000</x:v>
      </x:c>
      <x:c r="F40" s="21" t="n">
        <x:f>E40+F32</x:f>
        <x:v>1275000</x:v>
      </x:c>
      <x:c r="G40" s="21" t="n">
        <x:f>F40+G32</x:f>
        <x:v>1300000</x:v>
      </x:c>
      <x:c r="H40" s="21" t="n">
        <x:f>G40+H32</x:f>
        <x:v>1325000</x:v>
      </x:c>
      <x:c r="I40" s="21" t="n">
        <x:f>H40+I32</x:f>
        <x:v>1350000</x:v>
      </x:c>
      <x:c r="J40" s="1"/>
      <x:c r="K40" s="1"/>
      <x:c r="L40" s="1"/>
    </x:row>
    <x:row r="41" ht="22" customHeight="1">
      <x:c r="A41" s="1"/>
      <x:c r="B41" s="1"/>
      <x:c r="C41" s="1" t="str">
        <x:v>Accumulated depreciation</x:v>
      </x:c>
      <x:c r="D41" s="21" t="n">
        <x:f>'Assumptions'!I48+D14</x:f>
        <x:v>500000</x:v>
      </x:c>
      <x:c r="E41" s="21" t="n">
        <x:f>D41+E14</x:f>
        <x:v>520416.6666666667</x:v>
      </x:c>
      <x:c r="F41" s="21" t="n">
        <x:f>E41+F14</x:f>
        <x:v>541250</x:v>
      </x:c>
      <x:c r="G41" s="21" t="n">
        <x:f>F41+G14</x:f>
        <x:v>562500</x:v>
      </x:c>
      <x:c r="H41" s="21" t="n">
        <x:f>G41+H14</x:f>
        <x:v>584166.6666666666</x:v>
      </x:c>
      <x:c r="I41" s="21" t="n">
        <x:f>H41+I14</x:f>
        <x:v>606250</x:v>
      </x:c>
      <x:c r="J41" s="1"/>
      <x:c r="K41" s="1"/>
      <x:c r="L41" s="1"/>
    </x:row>
    <x:row r="42" ht="22" customHeight="1">
      <x:c r="A42" s="1"/>
      <x:c r="B42" s="1"/>
      <x:c r="C42" s="1" t="str">
        <x:v>Net PP&amp;E</x:v>
      </x:c>
      <x:c r="D42" s="21" t="n">
        <x:f>D40-D41</x:f>
        <x:v>725000</x:v>
      </x:c>
      <x:c r="E42" s="21" t="n">
        <x:f>E40-E41</x:f>
        <x:v>729583.3333333333</x:v>
      </x:c>
      <x:c r="F42" s="21" t="n">
        <x:f>F40-F41</x:f>
        <x:v>733750</x:v>
      </x:c>
      <x:c r="G42" s="21" t="n">
        <x:f>G40-G41</x:f>
        <x:v>737500</x:v>
      </x:c>
      <x:c r="H42" s="21" t="n">
        <x:f>H40-H41</x:f>
        <x:v>740833.3333333334</x:v>
      </x:c>
      <x:c r="I42" s="21" t="n">
        <x:f>I40-I41</x:f>
        <x:v>743750</x:v>
      </x:c>
      <x:c r="J42" s="1"/>
      <x:c r="K42" s="1"/>
      <x:c r="L42" s="1"/>
    </x:row>
    <x:row r="43" ht="22" customHeight="1">
      <x:c r="A43" s="1"/>
      <x:c r="B43" s="1"/>
      <x:c r="C43" s="1" t="str">
        <x:v>Total assets</x:v>
      </x:c>
      <x:c r="D43" s="21" t="n">
        <x:f>SUM(D38:D39,D42)</x:f>
        <x:v>2157596.00405</x:v>
      </x:c>
      <x:c r="E43" s="21" t="n">
        <x:f>SUM(E38:E39,E42)</x:f>
        <x:v>2158791.14493757</x:v>
      </x:c>
      <x:c r="F43" s="21" t="n">
        <x:f>SUM(F38:F39,F42)</x:f>
        <x:v>2134532.0783035904</x:v>
      </x:c>
      <x:c r="G43" s="21" t="n">
        <x:f>SUM(G38:G39,G42)</x:f>
        <x:v>2170349.1121900245</x:v>
      </x:c>
      <x:c r="H43" s="21" t="n">
        <x:f>SUM(H38:H39,H42)</x:f>
        <x:v>2223337.383401611</x:v>
      </x:c>
      <x:c r="I43" s="21" t="n">
        <x:f>SUM(I38:I39,I42)</x:f>
        <x:v>2285180.1563506853</x:v>
      </x:c>
      <x:c r="J43" s="1"/>
      <x:c r="K43" s="1"/>
      <x:c r="L43" s="1"/>
    </x:row>
    <x:row r="44" ht="22" customHeight="1">
      <x:c r="A44" s="1"/>
      <x:c r="B44" s="1"/>
      <x:c r="C44" s="1"/>
      <x:c r="D44" s="21"/>
      <x:c r="E44" s="21"/>
      <x:c r="F44" s="21"/>
      <x:c r="G44" s="21"/>
      <x:c r="H44" s="21"/>
      <x:c r="I44" s="21"/>
      <x:c r="J44" s="1"/>
      <x:c r="K44" s="1"/>
      <x:c r="L44" s="1"/>
    </x:row>
    <x:row r="45" ht="22" customHeight="1">
      <x:c r="A45" s="1"/>
      <x:c r="B45" s="1"/>
      <x:c r="C45" s="1" t="str">
        <x:v>AP</x:v>
      </x:c>
      <x:c r="D45" s="21" t="n">
        <x:f>'Working Capital'!D22</x:f>
        <x:v>247928.64</x:v>
      </x:c>
      <x:c r="E45" s="21" t="n">
        <x:f>'Working Capital'!E22</x:f>
        <x:v>264770.47521875007</x:v>
      </x:c>
      <x:c r="F45" s="21" t="n">
        <x:f>'Working Capital'!F22</x:f>
        <x:v>266660.9811379687</x:v>
      </x:c>
      <x:c r="G45" s="21" t="n">
        <x:f>'Working Capital'!G22</x:f>
        <x:v>295752.733924289</x:v>
      </x:c>
      <x:c r="H45" s="21" t="n">
        <x:f>'Working Capital'!H22</x:f>
        <x:v>320960.45012945565</x:v>
      </x:c>
      <x:c r="I45" s="21" t="n">
        <x:f>'Working Capital'!I22</x:f>
        <x:v>344907.01722395245</x:v>
      </x:c>
      <x:c r="J45" s="1"/>
      <x:c r="K45" s="1"/>
      <x:c r="L45" s="1"/>
    </x:row>
    <x:row r="46" ht="22" customHeight="1">
      <x:c r="A46" s="1"/>
      <x:c r="B46" s="1"/>
      <x:c r="C46" s="1" t="str">
        <x:v>Debt</x:v>
      </x:c>
      <x:c r="D46" s="21" t="n">
        <x:f>'Debt'!D11</x:f>
        <x:v>590000</x:v>
      </x:c>
      <x:c r="E46" s="21" t="n">
        <x:f>'Debt'!E11</x:f>
        <x:v>580000</x:v>
      </x:c>
      <x:c r="F46" s="21" t="n">
        <x:f>'Debt'!F11</x:f>
        <x:v>570000</x:v>
      </x:c>
      <x:c r="G46" s="21" t="n">
        <x:f>'Debt'!G11</x:f>
        <x:v>560000</x:v>
      </x:c>
      <x:c r="H46" s="21" t="n">
        <x:f>'Debt'!H11</x:f>
        <x:v>550000</x:v>
      </x:c>
      <x:c r="I46" s="21" t="n">
        <x:f>'Debt'!I11</x:f>
        <x:v>540000</x:v>
      </x:c>
      <x:c r="J46" s="1"/>
      <x:c r="K46" s="1"/>
      <x:c r="L46" s="1"/>
    </x:row>
    <x:row r="47" ht="22" customHeight="1">
      <x:c r="A47" s="1"/>
      <x:c r="B47" s="1"/>
      <x:c r="C47" s="1" t="str">
        <x:v>Total liabilities</x:v>
      </x:c>
      <x:c r="D47" s="21" t="n">
        <x:f>SUM(D45:D46)</x:f>
        <x:v>837928.64</x:v>
      </x:c>
      <x:c r="E47" s="21" t="n">
        <x:f>SUM(E45:E46)</x:f>
        <x:v>844770.4752187501</x:v>
      </x:c>
      <x:c r="F47" s="21" t="n">
        <x:f>SUM(F45:F46)</x:f>
        <x:v>836660.9811379687</x:v>
      </x:c>
      <x:c r="G47" s="21" t="n">
        <x:f>SUM(G45:G46)</x:f>
        <x:v>855752.733924289</x:v>
      </x:c>
      <x:c r="H47" s="21" t="n">
        <x:f>SUM(H45:H46)</x:f>
        <x:v>870960.4501294557</x:v>
      </x:c>
      <x:c r="I47" s="21" t="n">
        <x:f>SUM(I45:I46)</x:f>
        <x:v>884907.0172239525</x:v>
      </x:c>
      <x:c r="J47" s="1"/>
      <x:c r="K47" s="1"/>
      <x:c r="L47" s="1"/>
    </x:row>
    <x:row r="48" ht="22" customHeight="1">
      <x:c r="A48" s="1"/>
      <x:c r="B48" s="1"/>
      <x:c r="C48" s="1"/>
      <x:c r="D48" s="21"/>
      <x:c r="E48" s="21"/>
      <x:c r="F48" s="21"/>
      <x:c r="G48" s="21"/>
      <x:c r="H48" s="21"/>
      <x:c r="I48" s="21"/>
      <x:c r="J48" s="1"/>
      <x:c r="K48" s="1"/>
      <x:c r="L48" s="1"/>
    </x:row>
    <x:row r="49" ht="22" customHeight="1">
      <x:c r="A49" s="1"/>
      <x:c r="B49" s="1"/>
      <x:c r="C49" s="1" t="str">
        <x:v>Share capital</x:v>
      </x:c>
      <x:c r="D49" s="21" t="n">
        <x:f>'Assumptions'!$I$53</x:f>
        <x:v>500000</x:v>
      </x:c>
      <x:c r="E49" s="21" t="n">
        <x:f>'Assumptions'!$I$53</x:f>
        <x:v>500000</x:v>
      </x:c>
      <x:c r="F49" s="21" t="n">
        <x:f>'Assumptions'!$I$53</x:f>
        <x:v>500000</x:v>
      </x:c>
      <x:c r="G49" s="21" t="n">
        <x:f>'Assumptions'!$I$53</x:f>
        <x:v>500000</x:v>
      </x:c>
      <x:c r="H49" s="21" t="n">
        <x:f>'Assumptions'!$I$53</x:f>
        <x:v>500000</x:v>
      </x:c>
      <x:c r="I49" s="21" t="n">
        <x:f>'Assumptions'!$I$53</x:f>
        <x:v>500000</x:v>
      </x:c>
      <x:c r="J49" s="1"/>
      <x:c r="K49" s="1"/>
      <x:c r="L49" s="1"/>
    </x:row>
    <x:row r="50" ht="22" customHeight="1">
      <x:c r="A50" s="1"/>
      <x:c r="B50" s="1"/>
      <x:c r="C50" s="1" t="str">
        <x:v>Opening retained earnings</x:v>
      </x:c>
      <x:c r="D50" s="21" t="n">
        <x:f>SUM('Assumptions'!I56,'Assumptions'!I41,'Assumptions'!I47)-SUM('Assumptions'!I48,'Assumptions'!I45,'Assumptions'!I50,'Assumptions'!I53)</x:f>
        <x:v>840000</x:v>
      </x:c>
      <x:c r="E50" s="21" t="n">
        <x:f>D52</x:f>
        <x:v>819667.3640500001</x:v>
      </x:c>
      <x:c r="F50" s="21" t="n">
        <x:f>E52</x:f>
        <x:v>814020.66971882</x:v>
      </x:c>
      <x:c r="G50" s="21" t="n">
        <x:f>F52</x:f>
        <x:v>797871.0971656215</x:v>
      </x:c>
      <x:c r="H50" s="21" t="n">
        <x:f>G52</x:f>
        <x:v>814596.3782657352</x:v>
      </x:c>
      <x:c r="I50" s="21" t="n">
        <x:f>H52</x:f>
        <x:v>852376.9332721551</x:v>
      </x:c>
      <x:c r="J50" s="1"/>
      <x:c r="K50" s="1"/>
      <x:c r="L50" s="1"/>
    </x:row>
    <x:row r="51" ht="22" customHeight="1">
      <x:c r="A51" s="1"/>
      <x:c r="B51" s="1"/>
      <x:c r="C51" s="1" t="str">
        <x:v>Net income to retained earnings</x:v>
      </x:c>
      <x:c r="D51" s="21" t="n">
        <x:f>D23</x:f>
        <x:v>-20332.635949999938</x:v>
      </x:c>
      <x:c r="E51" s="21" t="n">
        <x:f>E23</x:f>
        <x:v>-5646.694331180015</x:v>
      </x:c>
      <x:c r="F51" s="21" t="n">
        <x:f>F23</x:f>
        <x:v>-16149.57255319852</x:v>
      </x:c>
      <x:c r="G51" s="21" t="n">
        <x:f>G23</x:f>
        <x:v>16725.28110011376</x:v>
      </x:c>
      <x:c r="H51" s="21" t="n">
        <x:f>H23</x:f>
        <x:v>37780.555006419854</x:v>
      </x:c>
      <x:c r="I51" s="21" t="n">
        <x:f>I23</x:f>
        <x:v>47896.20585457757</x:v>
      </x:c>
      <x:c r="J51" s="1"/>
      <x:c r="K51" s="1"/>
      <x:c r="L51" s="1"/>
    </x:row>
    <x:row r="52" ht="22" customHeight="1">
      <x:c r="A52" s="1"/>
      <x:c r="B52" s="1"/>
      <x:c r="C52" s="1" t="str">
        <x:v>Closing retained earnings</x:v>
      </x:c>
      <x:c r="D52" s="21" t="n">
        <x:f>SUM(D50:D51)</x:f>
        <x:v>819667.3640500001</x:v>
      </x:c>
      <x:c r="E52" s="21" t="n">
        <x:f>SUM(E50:E51)</x:f>
        <x:v>814020.66971882</x:v>
      </x:c>
      <x:c r="F52" s="21" t="n">
        <x:f>SUM(F50:F51)</x:f>
        <x:v>797871.0971656215</x:v>
      </x:c>
      <x:c r="G52" s="21" t="n">
        <x:f>SUM(G50:G51)</x:f>
        <x:v>814596.3782657352</x:v>
      </x:c>
      <x:c r="H52" s="21" t="n">
        <x:f>SUM(H50:H51)</x:f>
        <x:v>852376.9332721551</x:v>
      </x:c>
      <x:c r="I52" s="21" t="n">
        <x:f>SUM(I50:I51)</x:f>
        <x:v>900273.1391267327</x:v>
      </x:c>
      <x:c r="J52" s="1"/>
      <x:c r="K52" s="1"/>
      <x:c r="L52" s="1"/>
    </x:row>
    <x:row r="53" ht="22" customHeight="1">
      <x:c r="A53" s="1"/>
      <x:c r="B53" s="1"/>
      <x:c r="C53" s="1" t="str">
        <x:v>Total equity</x:v>
      </x:c>
      <x:c r="D53" s="21" t="n">
        <x:f>SUM(D49,D52)</x:f>
        <x:v>1319667.36405</x:v>
      </x:c>
      <x:c r="E53" s="21" t="n">
        <x:f>SUM(E49,E52)</x:f>
        <x:v>1314020.6697188201</x:v>
      </x:c>
      <x:c r="F53" s="21" t="n">
        <x:f>SUM(F49,F52)</x:f>
        <x:v>1297871.0971656214</x:v>
      </x:c>
      <x:c r="G53" s="21" t="n">
        <x:f>SUM(G49,G52)</x:f>
        <x:v>1314596.3782657352</x:v>
      </x:c>
      <x:c r="H53" s="21" t="n">
        <x:f>SUM(H49,H52)</x:f>
        <x:v>1352376.933272155</x:v>
      </x:c>
      <x:c r="I53" s="21" t="n">
        <x:f>SUM(I49,I52)</x:f>
        <x:v>1400273.1391267327</x:v>
      </x:c>
      <x:c r="J53" s="1"/>
      <x:c r="K53" s="1"/>
      <x:c r="L53" s="1"/>
    </x:row>
    <x:row r="54" ht="22" customHeight="1">
      <x:c r="A54" s="1"/>
      <x:c r="B54" s="1"/>
      <x:c r="C54" s="1" t="str">
        <x:v>Liabilities and equity</x:v>
      </x:c>
      <x:c r="D54" s="21" t="n">
        <x:f>SUM(D47,D53)</x:f>
        <x:v>2157596.00405</x:v>
      </x:c>
      <x:c r="E54" s="21" t="n">
        <x:f>SUM(E47,E53)</x:f>
        <x:v>2158791.14493757</x:v>
      </x:c>
      <x:c r="F54" s="21" t="n">
        <x:f>SUM(F47,F53)</x:f>
        <x:v>2134532.07830359</x:v>
      </x:c>
      <x:c r="G54" s="21" t="n">
        <x:f>SUM(G47,G53)</x:f>
        <x:v>2170349.112190024</x:v>
      </x:c>
      <x:c r="H54" s="21" t="n">
        <x:f>SUM(H47,H53)</x:f>
        <x:v>2223337.383401611</x:v>
      </x:c>
      <x:c r="I54" s="21" t="n">
        <x:f>SUM(I47,I53)</x:f>
        <x:v>2285180.1563506853</x:v>
      </x:c>
      <x:c r="J54" s="1"/>
      <x:c r="K54" s="1"/>
      <x:c r="L54" s="1"/>
    </x:row>
    <x:row r="55" ht="22" customHeight="1">
      <x:c r="A55" s="1"/>
      <x:c r="B55" s="1"/>
      <x:c r="C55" s="1" t="str">
        <x:v>Balance sheet difference</x:v>
      </x:c>
      <x:c r="D55" s="23" t="n">
        <x:f>D43-D54</x:f>
        <x:v>0</x:v>
      </x:c>
      <x:c r="E55" s="23" t="n">
        <x:f>E43-E54</x:f>
        <x:v>0</x:v>
      </x:c>
      <x:c r="F55" s="23" t="n">
        <x:f>F43-F54</x:f>
        <x:v>4.656612873077393e-10</x:v>
      </x:c>
      <x:c r="G55" s="23" t="n">
        <x:f>G43-G54</x:f>
        <x:v>4.656612873077393e-10</x:v>
      </x:c>
      <x:c r="H55" s="23" t="n">
        <x:f>H43-H54</x:f>
        <x:v>0</x:v>
      </x:c>
      <x:c r="I55" s="23" t="n">
        <x:f>I43-I54</x:f>
        <x:v>0</x:v>
      </x:c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5" t="str">
        <x:v>Simplified tax-loss offsets assume full usability. No deferred tax assets, inventory or dividends.</x:v>
      </x:c>
      <x:c r="D59" s="5"/>
      <x:c r="E59" s="5"/>
      <x:c r="F59" s="5"/>
      <x:c r="G59" s="5"/>
      <x:c r="H59" s="5"/>
      <x:c r="I59" s="5"/>
      <x:c r="J59" s="1"/>
      <x:c r="K59" s="1"/>
      <x:c r="L59" s="1"/>
    </x:row>
    <x:row r="60" ht="22" customHeight="1">
      <x:c r="A60" s="1"/>
      <x:c r="B60" s="1"/>
      <x:c r="C60" s="5"/>
      <x:c r="D60" s="5"/>
      <x:c r="E60" s="5"/>
      <x:c r="F60" s="5"/>
      <x:c r="G60" s="5"/>
      <x:c r="H60" s="5"/>
      <x:c r="I60" s="5"/>
      <x:c r="J60" s="1"/>
      <x:c r="K60" s="1"/>
      <x:c r="L60" s="1"/>
    </x:row>
    <x:row r="61" ht="22" customHeight="1">
      <x:c r="A61" s="1"/>
      <x:c r="B61" s="1"/>
      <x:c r="C61" s="5"/>
      <x:c r="D61" s="5"/>
      <x:c r="E61" s="5"/>
      <x:c r="F61" s="5"/>
      <x:c r="G61" s="5"/>
      <x:c r="H61" s="5"/>
      <x:c r="I61" s="5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D4:F4"/>
    <x:mergeCell ref="C59:I6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Decision ownership and approval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 t="str">
        <x:v>Roles and deadlines are proposed within a synthetic case.</x:v>
      </x:c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5" hidden="0" customHeight="1">
      <x:c r="A6" s="1"/>
      <x:c r="B6" s="1"/>
      <x:c r="C6" s="14" t="str">
        <x:v>Action</x:v>
      </x:c>
      <x:c r="D6" s="14" t="str">
        <x:v>Proposed owner</x:v>
      </x:c>
      <x:c r="E6" s="14" t="str">
        <x:v>Due from approval</x:v>
      </x:c>
      <x:c r="F6" s="14" t="str">
        <x:v>Trigger / evidence</x:v>
      </x:c>
      <x:c r="G6" s="14" t="str">
        <x:v>Approval needed</x:v>
      </x:c>
      <x:c r="H6" s="14" t="str">
        <x:v>Status</x:v>
      </x:c>
      <x:c r="I6" s="14" t="str">
        <x:v>Evidence link</x:v>
      </x:c>
      <x:c r="J6" s="1"/>
      <x:c r="K6" s="1"/>
      <x:c r="L6" s="1"/>
    </x:row>
    <x:row r="7" ht="26.399999618530273" hidden="0" customHeight="1">
      <x:c r="A7" s="1"/>
      <x:c r="B7" s="1"/>
      <x:c r="C7" s="5" t="str">
        <x:v>Validate price and cost assumptions</x:v>
      </x:c>
      <x:c r="D7" s="5" t="str">
        <x:v>Finance + Sales</x:v>
      </x:c>
      <x:c r="E7" s="5" t="str">
        <x:v>Day 5</x:v>
      </x:c>
      <x:c r="F7" s="5" t="str">
        <x:v>July driver variance reconciled</x:v>
      </x:c>
      <x:c r="G7" s="5" t="str">
        <x:v>Finance lead</x:v>
      </x:c>
      <x:c r="H7" s="5" t="str">
        <x:v>Proposed</x:v>
      </x:c>
      <x:c r="I7" s="5" t="str"/>
      <x:c r="J7" s="1"/>
      <x:c r="K7" s="1"/>
      <x:c r="L7" s="1"/>
    </x:row>
    <x:row r="8" ht="26.399999618530273" hidden="0" customHeight="1">
      <x:c r="A8" s="1"/>
      <x:c r="B8" s="1"/>
      <x:c r="C8" s="5" t="str">
        <x:v>Review low-margin contracts</x:v>
      </x:c>
      <x:c r="D8" s="5" t="str">
        <x:v>Commercial + Operations</x:v>
      </x:c>
      <x:c r="E8" s="5" t="str">
        <x:v>Day 10</x:v>
      </x:c>
      <x:c r="F8" s="5" t="str">
        <x:v>EBITDA margin below 3%</x:v>
      </x:c>
      <x:c r="G8" s="5" t="str">
        <x:v>Commercial lead</x:v>
      </x:c>
      <x:c r="H8" s="5" t="str">
        <x:v>Proposed</x:v>
      </x:c>
      <x:c r="I8" s="5" t="str"/>
      <x:c r="J8" s="1"/>
      <x:c r="K8" s="1"/>
      <x:c r="L8" s="1"/>
    </x:row>
    <x:row r="9" ht="26.399999618530273" hidden="0" customHeight="1">
      <x:c r="A9" s="1"/>
      <x:c r="B9" s="1"/>
      <x:c r="C9" s="5" t="str">
        <x:v>Reforecast and approve actions</x:v>
      </x:c>
      <x:c r="D9" s="5" t="str">
        <x:v>Finance lead</x:v>
      </x:c>
      <x:c r="E9" s="5" t="str">
        <x:v>Monthly close + 5 days</x:v>
      </x:c>
      <x:c r="F9" s="5" t="str">
        <x:v>Volume misses plan &gt;5%</x:v>
      </x:c>
      <x:c r="G9" s="5" t="str">
        <x:v>Business unit lead</x:v>
      </x:c>
      <x:c r="H9" s="5" t="str">
        <x:v>Proposed</x:v>
      </x:c>
      <x:c r="I9" s="5" t="str"/>
      <x:c r="J9" s="1"/>
      <x:c r="K9" s="1"/>
      <x:c r="L9" s="1"/>
    </x:row>
    <x:row r="10" ht="15" hidden="0" customHeight="1">
      <x:c r="A10" s="1"/>
      <x:c r="B10" s="1"/>
      <x:c r="C10" s="5" t="str">
        <x:v>Monitor cash and capex</x:v>
      </x:c>
      <x:c r="D10" s="5" t="str">
        <x:v>Treasury + Operations</x:v>
      </x:c>
      <x:c r="E10" s="5" t="str">
        <x:v>Weekly</x:v>
      </x:c>
      <x:c r="F10" s="5" t="str">
        <x:v>Cash below $250,000</x:v>
      </x:c>
      <x:c r="G10" s="5" t="str">
        <x:v>Finance lead</x:v>
      </x:c>
      <x:c r="H10" s="5" t="str">
        <x:v>Proposed</x:v>
      </x:c>
      <x:c r="I10" s="5" t="str"/>
      <x:c r="J10" s="1"/>
      <x:c r="K10" s="1"/>
      <x:c r="L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mergeCells>
    <x:mergeCell ref="C4:I4"/>
  </x:mergeCells>
  <x:dataValidations count="1">
    <x:dataValidation type="list" sqref="H7:H10">
      <x:formula1>"Proposed,In progress,Completed,Blocked"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1"/>
      <x:c r="B2" s="1"/>
      <x:c r="C2" s="2" t="str">
        <x:v>Reconciliation checks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15" hidden="0" customHeight="1">
      <x:c r="A6" s="1"/>
      <x:c r="B6" s="1"/>
      <x:c r="C6" s="14" t="str">
        <x:v>Check</x:v>
      </x:c>
      <x:c r="D6" s="14" t="str">
        <x:v>Difference</x:v>
      </x:c>
      <x:c r="E6" s="14" t="str">
        <x:v>Tolerance (USD)</x:v>
      </x:c>
      <x:c r="F6" s="1"/>
      <x:c r="G6" s="1"/>
      <x:c r="H6" s="1"/>
      <x:c r="I6" s="1"/>
      <x:c r="J6" s="1"/>
      <x:c r="K6" s="1"/>
      <x:c r="L6" s="1"/>
    </x:row>
    <x:row r="7" ht="15" hidden="0" customHeight="1">
      <x:c r="A7" s="1"/>
      <x:c r="B7" s="1"/>
      <x:c r="C7" s="5" t="str">
        <x:v>July bridge</x:v>
      </x:c>
      <x:c r="D7" s="18" t="n">
        <x:f>'Variance'!D13-'Variance'!D12-'Variance'!D14</x:f>
        <x:v>1.291482476517558e-10</x:v>
      </x:c>
      <x:c r="E7" s="18" t="n">
        <x:v>0.01</x:v>
      </x:c>
      <x:c r="F7" s="1"/>
      <x:c r="G7" s="1"/>
      <x:c r="H7" s="1"/>
      <x:c r="I7" s="1"/>
      <x:c r="J7" s="1"/>
      <x:c r="K7" s="1"/>
      <x:c r="L7" s="1"/>
    </x:row>
    <x:row r="8" ht="15" hidden="0" customHeight="1">
      <x:c r="A8" s="1"/>
      <x:c r="B8" s="1"/>
      <x:c r="C8" s="5" t="str">
        <x:v>Cash roll-forward</x:v>
      </x:c>
      <x:c r="D8" s="18" t="n">
        <x:f>'Monthly'!O22-'Assumptions'!I56-SUM('Monthly'!J20:O20)</x:f>
        <x:v>2.9103830456733704e-11</x:v>
      </x:c>
      <x:c r="E8" s="18" t="n">
        <x:v>0.01</x:v>
      </x:c>
      <x:c r="F8" s="1"/>
      <x:c r="G8" s="1"/>
      <x:c r="H8" s="1"/>
      <x:c r="I8" s="1"/>
      <x:c r="J8" s="1"/>
      <x:c r="K8" s="1"/>
      <x:c r="L8" s="1"/>
    </x:row>
    <x:row r="9" ht="15" hidden="0" customHeight="1">
      <x:c r="A9" s="1"/>
      <x:c r="B9" s="1"/>
      <x:c r="C9" s="5" t="str">
        <x:v>H1 revenue to raw inputs</x:v>
      </x:c>
      <x:c r="D9" s="18" t="n">
        <x:f>SUM('Monthly'!D7:I7)-SUMPRODUCT('Source'!E7:E24,'Source'!F7:F24)</x:f>
        <x:v>-9.313225746154785e-10</x:v>
      </x:c>
      <x:c r="E9" s="18" t="n">
        <x:v>0.01</x:v>
      </x:c>
      <x:c r="F9" s="1"/>
      <x:c r="G9" s="1"/>
      <x:c r="H9" s="1"/>
      <x:c r="I9" s="1"/>
      <x:c r="J9" s="1"/>
      <x:c r="K9" s="1"/>
      <x:c r="L9" s="1"/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2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2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2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2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2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2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2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2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2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 ht="2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2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2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2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2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2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2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2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2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2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2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2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2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2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2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2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2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2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2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2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2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2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D7:D9">
    <x:cfRule type="expression" dxfId="0" priority="1">
      <x:formula>ABS(D7)&gt;E7</x:formula>
    </x:cfRule>
  </x:conditionalFormatting>
  <x:pageMargins left="0.7" right="0.7" top="0.75" bottom="0.75" header="0.3" footer="0.3"/>
</x:worksheet>
</file>