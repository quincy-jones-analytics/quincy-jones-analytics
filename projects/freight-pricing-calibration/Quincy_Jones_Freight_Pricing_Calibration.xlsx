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5ce411819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Summary" sheetId="1" r:id="R4fed97525b624920"/>
    <x:sheet xmlns:r="http://schemas.openxmlformats.org/officeDocument/2006/relationships" name="Calibration" sheetId="2" r:id="R06eabbbf408d4ac1"/>
    <x:sheet xmlns:r="http://schemas.openxmlformats.org/officeDocument/2006/relationships" name="Sensitivity" sheetId="3" r:id="R504293010bb24752"/>
    <x:sheet xmlns:r="http://schemas.openxmlformats.org/officeDocument/2006/relationships" name="Sources &amp; Notes" sheetId="4" r:id="R5e614a34f820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0"/>
    <x:numFmt numFmtId="201" formatCode="0.0%"/>
    <x:numFmt numFmtId="202" formatCode="$#,##0.00"/>
    <x:numFmt numFmtId="203" formatCode="$0.00"/>
  </x:numFmts>
  <x:fonts count="8">
    <x:font>
      <x:sz val="11"/>
      <x:name val="Carlito"/>
    </x:font>
    <x:font>
      <x:b/>
      <x:sz val="16"/>
      <x:color rgb="FF17324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17324D"/>
      <x:name val="Arial"/>
    </x:font>
    <x:font>
      <x:i/>
      <x:sz val="9"/>
      <x:color rgb="FF667085"/>
      <x:name val="Arial"/>
    </x:font>
    <x:font>
      <x:sz val="10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B8A"/>
      </x:patternFill>
    </x:fill>
    <x:fill>
      <x:patternFill patternType="solid">
        <x:fgColor rgb="FFEAF1F5"/>
      </x:patternFill>
    </x:fill>
  </x:fills>
  <x:borders count="8">
    <x:border/>
    <x:border>
      <x:bottom style="thin">
        <x:color rgb="FF2F6B8A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3" fillId="3" borderId="7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3efc59557400f" /><Relationship Type="http://schemas.openxmlformats.org/officeDocument/2006/relationships/theme" Target="/xl/theme/theme1.xml" Id="Rcb9515f9ece1423a" /><Relationship Type="http://schemas.openxmlformats.org/officeDocument/2006/relationships/sharedStrings" Target="/xl/sharedStrings.xml" Id="R2f4d814ba0ec46a1" /><Relationship Type="http://schemas.openxmlformats.org/officeDocument/2006/relationships/worksheet" Target="/xl/worksheets/sheet1.xml" Id="R4fed97525b624920" /><Relationship Type="http://schemas.openxmlformats.org/officeDocument/2006/relationships/worksheet" Target="/xl/worksheets/sheet2.xml" Id="R06eabbbf408d4ac1" /><Relationship Type="http://schemas.openxmlformats.org/officeDocument/2006/relationships/worksheet" Target="/xl/worksheets/sheet3.xml" Id="R504293010bb24752" /><Relationship Type="http://schemas.openxmlformats.org/officeDocument/2006/relationships/worksheet" Target="/xl/worksheets/sheet4.xml" Id="R5e614a34f82044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" max="1" width="3" hidden="0" customWidth="1"/>
    <x:col min="2" max="2" width="3" hidden="0" customWidth="1"/>
  </x:cols>
  <x:sheetData>
    <x:row r="2">
      <x:c r="C2" s="1" t="str">
        <x:v>Freight Pricing Benchmark Calibration</x:v>
      </x:c>
    </x:row>
    <x:row r="3">
      <x:c r="C3" s="2" t="str">
        <x:v>500-mile worked case | public carrier-cost and broker-margin benchmarks</x:v>
      </x:c>
    </x:row>
    <x:row r="4">
      <x:c r="C4" s="3"/>
      <x:c r="D4" s="3"/>
      <x:c r="E4" s="3"/>
      <x:c r="F4" s="3"/>
      <x:c r="G4" s="3"/>
      <x:c r="H4" s="3"/>
      <x:c r="I4" s="3"/>
      <x:c r="J4" s="3"/>
    </x:row>
    <x:row r="6">
      <x:c r="C6" s="6" t="str">
        <x:v>Original model vs. public benchmarks</x:v>
      </x:c>
      <x:c r="D6" s="7"/>
      <x:c r="E6" s="7"/>
      <x:c r="F6" s="7"/>
      <x:c r="G6" s="7"/>
      <x:c r="H6" s="7"/>
      <x:c r="I6" s="7"/>
      <x:c r="J6" s="8"/>
    </x:row>
    <x:row r="7">
      <x:c r="C7" s="17" t="str">
        <x:v>Case</x:v>
      </x:c>
      <x:c r="D7" s="18" t="str">
        <x:v>Cost / mile</x:v>
      </x:c>
      <x:c r="E7" s="18" t="str">
        <x:v>Target margin</x:v>
      </x:c>
      <x:c r="F7" s="18" t="str">
        <x:v>Total cost</x:v>
      </x:c>
      <x:c r="G7" s="18" t="str">
        <x:v>Recommended price</x:v>
      </x:c>
      <x:c r="H7" s="18" t="str">
        <x:v>Rate / mile</x:v>
      </x:c>
      <x:c r="I7" s="18" t="str">
        <x:v>Profit</x:v>
      </x:c>
      <x:c r="J7" s="19" t="str">
        <x:v>Price change</x:v>
      </x:c>
    </x:row>
    <x:row r="8">
      <x:c r="C8" s="27" t="str">
        <x:v>Original pricing lab</x:v>
      </x:c>
      <x:c r="D8" s="28" t="n">
        <x:f>'Calibration'!D8</x:f>
        <x:v>0</x:v>
      </x:c>
      <x:c r="E8" s="29" t="n">
        <x:f>'Calibration'!E8</x:f>
        <x:v>0</x:v>
      </x:c>
      <x:c r="F8" s="30" t="n">
        <x:f>'Calibration'!F8</x:f>
        <x:v>0</x:v>
      </x:c>
      <x:c r="G8" s="30" t="n">
        <x:f>'Calibration'!G8</x:f>
        <x:v>0</x:v>
      </x:c>
      <x:c r="H8" s="30" t="n">
        <x:f>'Calibration'!H8</x:f>
        <x:v>0</x:v>
      </x:c>
      <x:c r="I8" s="30" t="n">
        <x:f>'Calibration'!I8</x:f>
        <x:v>0</x:v>
      </x:c>
      <x:c r="J8" s="29" t="n">
        <x:f>'Calibration'!J8</x:f>
        <x:v>0</x:v>
      </x:c>
    </x:row>
    <x:row r="9">
      <x:c r="C9" s="27" t="str">
        <x:v>Benchmark-calibrated</x:v>
      </x:c>
      <x:c r="D9" s="28" t="n">
        <x:f>'Calibration'!D9</x:f>
        <x:v>0</x:v>
      </x:c>
      <x:c r="E9" s="29" t="n">
        <x:f>'Calibration'!E9</x:f>
        <x:v>0</x:v>
      </x:c>
      <x:c r="F9" s="30" t="n">
        <x:f>'Calibration'!F9</x:f>
        <x:v>0</x:v>
      </x:c>
      <x:c r="G9" s="30" t="n">
        <x:f>'Calibration'!G9</x:f>
        <x:v>0</x:v>
      </x:c>
      <x:c r="H9" s="30" t="n">
        <x:f>'Calibration'!H9</x:f>
        <x:v>0</x:v>
      </x:c>
      <x:c r="I9" s="30" t="n">
        <x:f>'Calibration'!I9</x:f>
        <x:v>0</x:v>
      </x:c>
      <x:c r="J9" s="29" t="n">
        <x:f>'Calibration'!J9</x:f>
        <x:v>0</x:v>
      </x:c>
    </x:row>
    <x:row r="12">
      <x:c r="C12" s="6" t="str">
        <x:v>Recommendation</x:v>
      </x:c>
      <x:c r="D12" s="7"/>
      <x:c r="E12" s="7"/>
      <x:c r="F12" s="7"/>
      <x:c r="G12" s="7"/>
      <x:c r="H12" s="7"/>
      <x:c r="I12" s="7"/>
      <x:c r="J12" s="8"/>
    </x:row>
    <x:row r="13">
      <x:c r="C13" s="33" t="str">
        <x:v>Use $2.72 per mile, or about $1,358 for this 500-mile case, as the starting benchmark. Then add explicit lane factors for deadhead, tolls, detention, seasonality and market imbalance before quoting. Do not treat the broker margin as a carrier profit target.</x:v>
      </x:c>
      <x:c r="D13" s="33"/>
      <x:c r="E13" s="33"/>
      <x:c r="F13" s="33"/>
      <x:c r="G13" s="33"/>
      <x:c r="H13" s="33"/>
      <x:c r="I13" s="33"/>
      <x:c r="J13" s="33"/>
    </x:row>
    <x:row r="14">
      <x:c r="C14" s="33"/>
      <x:c r="D14" s="33"/>
      <x:c r="E14" s="33"/>
      <x:c r="F14" s="33"/>
      <x:c r="G14" s="33"/>
      <x:c r="H14" s="33"/>
      <x:c r="I14" s="33"/>
      <x:c r="J14" s="33"/>
    </x:row>
    <x:row r="17">
      <x:c r="C17" s="17" t="str">
        <x:v>Metric</x:v>
      </x:c>
      <x:c r="D17" s="18" t="str">
        <x:v>Original</x:v>
      </x:c>
      <x:c r="E17" s="18" t="str">
        <x:v>Calibrated</x:v>
      </x:c>
      <x:c r="F17" s="19" t="str">
        <x:v>Change</x:v>
      </x:c>
      <x:c r="H17" s="17" t="str">
        <x:v>What changed</x:v>
      </x:c>
      <x:c r="I17" s="18"/>
      <x:c r="J17" s="19"/>
    </x:row>
    <x:row r="18">
      <x:c r="C18" t="str">
        <x:v>Cost per mile</x:v>
      </x:c>
      <x:c r="D18" s="20" t="n">
        <x:f>'Calibration'!D8</x:f>
        <x:v>0</x:v>
      </x:c>
      <x:c r="E18" s="20" t="n">
        <x:f>'Calibration'!D9</x:f>
        <x:v>0</x:v>
      </x:c>
      <x:c r="F18" s="20" t="n">
        <x:f>E18-D18</x:f>
        <x:v>0</x:v>
      </x:c>
      <x:c r="H18" s="35" t="str">
        <x:v>ATRI raises modeled cost from $1.88 to $2.26 per mile. C.H. Robinson’s 2025 adjusted gross profit margin lowers the margin input from 18.0% to 16.8%. The net result is a higher quoted rate because the cost correction dominates the lower margin target.</x:v>
      </x:c>
      <x:c r="I18" s="35"/>
      <x:c r="J18" s="35"/>
    </x:row>
    <x:row r="19">
      <x:c r="C19" t="str">
        <x:v>Target gross margin</x:v>
      </x:c>
      <x:c r="D19" s="21" t="n">
        <x:f>'Calibration'!E8</x:f>
        <x:v>0</x:v>
      </x:c>
      <x:c r="E19" s="21" t="n">
        <x:f>'Calibration'!E9</x:f>
        <x:v>0</x:v>
      </x:c>
      <x:c r="F19" s="21" t="n">
        <x:f>E19-D19</x:f>
        <x:v>0</x:v>
      </x:c>
      <x:c r="H19" s="35"/>
      <x:c r="I19" s="35"/>
      <x:c r="J19" s="35"/>
    </x:row>
    <x:row r="20">
      <x:c r="C20" t="str">
        <x:v>Recommended total price</x:v>
      </x:c>
      <x:c r="D20" s="22" t="n">
        <x:f>'Calibration'!G8</x:f>
        <x:v>0</x:v>
      </x:c>
      <x:c r="E20" s="22" t="n">
        <x:f>'Calibration'!G9</x:f>
        <x:v>0</x:v>
      </x:c>
      <x:c r="F20" s="22" t="n">
        <x:f>E20-D20</x:f>
        <x:v>0</x:v>
      </x:c>
      <x:c r="H20" s="35"/>
      <x:c r="I20" s="35"/>
      <x:c r="J20" s="35"/>
    </x:row>
    <x:row r="21">
      <x:c r="H21" s="35"/>
      <x:c r="I21" s="35"/>
      <x:c r="J21" s="35"/>
    </x:row>
    <x:row r="24">
      <x:c r="C24" s="37" t="str">
        <x:v>Caveat: ATRI reports average carrier operating cost, while C.H. Robinson is a broker. The two benchmarks answer different questions. Use this as a sanity check, not a lane-level quote engine.</x:v>
      </x:c>
      <x:c r="D24" s="37"/>
      <x:c r="E24" s="37"/>
      <x:c r="F24" s="37"/>
      <x:c r="G24" s="37"/>
      <x:c r="H24" s="37"/>
      <x:c r="I24" s="37"/>
      <x:c r="J24" s="37"/>
    </x:row>
    <x:row r="25">
      <x:c r="C25" s="37"/>
      <x:c r="D25" s="37"/>
      <x:c r="E25" s="37"/>
      <x:c r="F25" s="37"/>
      <x:c r="G25" s="37"/>
      <x:c r="H25" s="37"/>
      <x:c r="I25" s="37"/>
      <x:c r="J25" s="37"/>
    </x:row>
    <x:row r="26">
      <x:c r="C26" s="37"/>
      <x:c r="D26" s="37"/>
      <x:c r="E26" s="37"/>
      <x:c r="F26" s="37"/>
      <x:c r="G26" s="37"/>
      <x:c r="H26" s="37"/>
      <x:c r="I26" s="37"/>
      <x:c r="J26" s="37"/>
    </x:row>
  </x:sheetData>
  <x:mergeCells>
    <x:mergeCell ref="C2:J2"/>
    <x:mergeCell ref="C3:J3"/>
    <x:mergeCell ref="C13:J14"/>
    <x:mergeCell ref="H17:J17"/>
    <x:mergeCell ref="H18:J21"/>
    <x:mergeCell ref="C24:J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" max="1" width="3" hidden="0" customWidth="1"/>
    <x:col min="2" max="2" width="3" hidden="0" customWidth="1"/>
  </x:cols>
  <x:sheetData>
    <x:row r="2">
      <x:c r="C2" s="1" t="str">
        <x:v>Calibration Build</x:v>
      </x:c>
    </x:row>
    <x:row r="3">
      <x:c r="C3" s="2" t="str">
        <x:v>Blue cells are source or model inputs; black cells are formulas</x:v>
      </x:c>
    </x:row>
    <x:row r="4">
      <x:c r="C4" s="3"/>
      <x:c r="D4" s="3"/>
      <x:c r="E4" s="3"/>
      <x:c r="F4" s="3"/>
      <x:c r="G4" s="3"/>
      <x:c r="H4" s="3"/>
      <x:c r="I4" s="3"/>
      <x:c r="J4" s="3"/>
    </x:row>
    <x:row r="6">
      <x:c r="C6" s="17"/>
      <x:c r="D6" s="18"/>
      <x:c r="E6" s="18"/>
      <x:c r="F6" s="18"/>
      <x:c r="G6" s="18"/>
      <x:c r="H6" s="18"/>
      <x:c r="I6" s="18"/>
      <x:c r="J6" s="19"/>
      <x:c r="L6" s="17"/>
      <x:c r="M6" s="18"/>
      <x:c r="N6" s="18"/>
      <x:c r="O6" s="18"/>
      <x:c r="P6" s="18" t="str">
        <x:v>Rate / mile</x:v>
      </x:c>
      <x:c r="Q6" s="18" t="str">
        <x:v>Profit</x:v>
      </x:c>
      <x:c r="R6" s="19" t="str">
        <x:v>Price change</x:v>
      </x:c>
    </x:row>
    <x:row r="8">
      <x:c r="C8"/>
      <x:c r="D8"/>
      <x:c r="E8"/>
      <x:c r="F8"/>
      <x:c r="G8"/>
      <x:c r="H8"/>
      <x:c r="I8"/>
      <x:c r="J8"/>
      <x:c r="L8"/>
      <x:c r="M8"/>
      <x:c r="N8"/>
      <x:c r="O8"/>
      <x:c r="P8" t="n">
        <x:f>H8</x:f>
        <x:v>0</x:v>
      </x:c>
      <x:c r="Q8" t="n">
        <x:f>I8</x:f>
        <x:v>0</x:v>
      </x:c>
      <x:c r="R8" t="n">
        <x:f>J8</x:f>
        <x:v>0</x:v>
      </x:c>
    </x:row>
    <x:row r="9">
      <x:c r="C9"/>
      <x:c r="D9"/>
      <x:c r="E9"/>
      <x:c r="F9"/>
      <x:c r="G9"/>
      <x:c r="H9"/>
      <x:c r="I9"/>
      <x:c r="J9"/>
      <x:c r="L9"/>
      <x:c r="M9"/>
      <x:c r="N9"/>
      <x:c r="O9"/>
      <x:c r="P9" t="n">
        <x:f>H9</x:f>
        <x:v>0</x:v>
      </x:c>
      <x:c r="Q9" t="n">
        <x:f>I9</x:f>
        <x:v>0</x:v>
      </x:c>
      <x:c r="R9" t="n">
        <x:f>J9</x:f>
        <x:v>0</x:v>
      </x:c>
    </x:row>
    <x:row r="13">
      <x:c r="C13" s="17" t="str">
        <x:v>Case</x:v>
      </x:c>
      <x:c r="D13" s="18" t="str">
        <x:v>Miles</x:v>
      </x:c>
      <x:c r="E13" s="18" t="str">
        <x:v>Fuel / mile</x:v>
      </x:c>
      <x:c r="F13" s="18" t="str">
        <x:v>Driver / mile</x:v>
      </x:c>
      <x:c r="G13" s="18" t="str">
        <x:v>Other / mile</x:v>
      </x:c>
      <x:c r="H13" s="18" t="str">
        <x:v>Total cost / mile</x:v>
      </x:c>
      <x:c r="I13" s="18" t="str">
        <x:v>Target margin</x:v>
      </x:c>
      <x:c r="J13" s="19" t="str">
        <x:v>Recommended price</x:v>
      </x:c>
    </x:row>
    <x:row r="14">
      <x:c r="C14" t="str">
        <x:v>Original pricing lab</x:v>
      </x:c>
      <x:c r="D14" s="38" t="n">
        <x:v>500</x:v>
      </x:c>
      <x:c r="E14" s="39" t="n">
        <x:v>0.62</x:v>
      </x:c>
      <x:c r="F14" s="39" t="n">
        <x:v>0.78</x:v>
      </x:c>
      <x:c r="G14" s="39" t="n">
        <x:v>0.48</x:v>
      </x:c>
      <x:c r="H14" s="20" t="n">
        <x:f>E14+F14+G14</x:f>
        <x:v>1.88</x:v>
      </x:c>
      <x:c r="I14" s="40" t="n">
        <x:v>0.18</x:v>
      </x:c>
      <x:c r="J14" s="22" t="n">
        <x:f>D14*H14/(1-I14)</x:f>
        <x:v>1146.341463414634</x:v>
      </x:c>
    </x:row>
    <x:row r="15">
      <x:c r="C15" t="str">
        <x:v>Benchmark-calibrated</x:v>
      </x:c>
      <x:c r="D15" s="38" t="n">
        <x:v>500</x:v>
      </x:c>
      <x:c r="E15" s="39" t="n">
        <x:v>0.481</x:v>
      </x:c>
      <x:c r="F15" s="39" t="n">
        <x:v>0.995</x:v>
      </x:c>
      <x:c r="G15" s="39" t="n">
        <x:v>0.784</x:v>
      </x:c>
      <x:c r="H15" s="20" t="n">
        <x:f>E15+F15+G15</x:f>
        <x:v>2.26</x:v>
      </x:c>
      <x:c r="I15" s="40" t="n">
        <x:v>0.168</x:v>
      </x:c>
      <x:c r="J15" s="22" t="n">
        <x:f>D15*H15/(1-I15)</x:f>
        <x:v>1358.173076923077</x:v>
      </x:c>
    </x:row>
    <x:row r="18">
      <x:c r="C18" s="42" t="str">
        <x:v>Benchmark driver cost includes $0.798 wages plus $0.197 benefits per mile. Other cost is the $2.260 ATRI total less fuel, wages and benefits. The 16.8% margin is C.H. Robinson 2025 adjusted gross profit divided by total revenue.</x:v>
      </x:c>
      <x:c r="D18" s="42"/>
      <x:c r="E18" s="42"/>
      <x:c r="F18" s="42"/>
      <x:c r="G18" s="42"/>
      <x:c r="H18" s="42"/>
      <x:c r="I18" s="42"/>
      <x:c r="J18" s="42"/>
    </x:row>
    <x:row r="19">
      <x:c r="C19" s="42"/>
      <x:c r="D19" s="42"/>
      <x:c r="E19" s="42"/>
      <x:c r="F19" s="42"/>
      <x:c r="G19" s="42"/>
      <x:c r="H19" s="42"/>
      <x:c r="I19" s="42"/>
      <x:c r="J19" s="42"/>
    </x:row>
    <x:row r="20">
      <x:c r="C20" s="42"/>
      <x:c r="D20" s="42"/>
      <x:c r="E20" s="42"/>
      <x:c r="F20" s="42"/>
      <x:c r="G20" s="42"/>
      <x:c r="H20" s="42"/>
      <x:c r="I20" s="42"/>
      <x:c r="J20" s="42"/>
    </x:row>
  </x:sheetData>
  <x:mergeCells>
    <x:mergeCell ref="C2:J2"/>
    <x:mergeCell ref="C3:J3"/>
    <x:mergeCell ref="C18:J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" max="1" width="3" hidden="0" customWidth="1"/>
    <x:col min="2" max="2" width="3" hidden="0" customWidth="1"/>
  </x:cols>
  <x:sheetData>
    <x:row r="2">
      <x:c r="C2" s="1" t="str">
        <x:v>Freight Rate Sensitivity</x:v>
      </x:c>
    </x:row>
    <x:row r="3">
      <x:c r="C3" s="2" t="str">
        <x:v>Rate per mile by carrier cost and target margin</x:v>
      </x:c>
    </x:row>
    <x:row r="4">
      <x:c r="C4" s="3"/>
      <x:c r="D4" s="3"/>
      <x:c r="E4" s="3"/>
      <x:c r="F4" s="3"/>
      <x:c r="G4" s="3"/>
      <x:c r="H4" s="3"/>
      <x:c r="I4" s="3"/>
      <x:c r="J4" s="3"/>
    </x:row>
    <x:row r="6">
      <x:c r="C6" s="17" t="str">
        <x:v>Margin / cost per mile</x:v>
      </x:c>
      <x:c r="D6" s="18" t="n">
        <x:v>2</x:v>
      </x:c>
      <x:c r="E6" s="18" t="n">
        <x:v>2.13</x:v>
      </x:c>
      <x:c r="F6" s="18" t="n">
        <x:v>2.26</x:v>
      </x:c>
      <x:c r="G6" s="18" t="n">
        <x:v>2.39</x:v>
      </x:c>
      <x:c r="H6" s="19" t="n">
        <x:v>2.52</x:v>
      </x:c>
    </x:row>
    <x:row r="7">
      <x:c r="C7" s="21" t="n">
        <x:v>0.14</x:v>
      </x:c>
      <x:c r="D7" s="43" t="n">
        <x:f>D$6/(1-$C7)</x:f>
        <x:v>2.3255813953488373</x:v>
      </x:c>
      <x:c r="E7" s="43" t="n">
        <x:f>E$6/(1-$C7)</x:f>
        <x:v>2.4767441860465116</x:v>
      </x:c>
      <x:c r="F7" s="43" t="n">
        <x:f>F$6/(1-$C7)</x:f>
        <x:v>2.627906976744186</x:v>
      </x:c>
      <x:c r="G7" s="43" t="n">
        <x:f>G$6/(1-$C7)</x:f>
        <x:v>2.7790697674418605</x:v>
      </x:c>
      <x:c r="H7" s="43" t="n">
        <x:f>H$6/(1-$C7)</x:f>
        <x:v>2.9302325581395348</x:v>
      </x:c>
    </x:row>
    <x:row r="8">
      <x:c r="C8" s="21" t="n">
        <x:v>0.16</x:v>
      </x:c>
      <x:c r="D8" s="43" t="n">
        <x:f>D$6/(1-$C8)</x:f>
        <x:v>2.380952380952381</x:v>
      </x:c>
      <x:c r="E8" s="43" t="n">
        <x:f>E$6/(1-$C8)</x:f>
        <x:v>2.5357142857142856</x:v>
      </x:c>
      <x:c r="F8" s="43" t="n">
        <x:f>F$6/(1-$C8)</x:f>
        <x:v>2.6904761904761902</x:v>
      </x:c>
      <x:c r="G8" s="43" t="n">
        <x:f>G$6/(1-$C8)</x:f>
        <x:v>2.8452380952380953</x:v>
      </x:c>
      <x:c r="H8" s="43" t="n">
        <x:f>H$6/(1-$C8)</x:f>
        <x:v>3</x:v>
      </x:c>
    </x:row>
    <x:row r="9">
      <x:c r="C9" s="21" t="n">
        <x:v>0.168</x:v>
      </x:c>
      <x:c r="D9" s="43" t="n">
        <x:f>D$6/(1-$C9)</x:f>
        <x:v>2.4038461538461537</x:v>
      </x:c>
      <x:c r="E9" s="43" t="n">
        <x:f>E$6/(1-$C9)</x:f>
        <x:v>2.5600961538461537</x:v>
      </x:c>
      <x:c r="F9" s="43" t="n">
        <x:f>F$6/(1-$C9)</x:f>
        <x:v>2.7163461538461537</x:v>
      </x:c>
      <x:c r="G9" s="43" t="n">
        <x:f>G$6/(1-$C9)</x:f>
        <x:v>2.872596153846154</x:v>
      </x:c>
      <x:c r="H9" s="43" t="n">
        <x:f>H$6/(1-$C9)</x:f>
        <x:v>3.028846153846154</x:v>
      </x:c>
    </x:row>
    <x:row r="10">
      <x:c r="C10" s="21" t="n">
        <x:v>0.2</x:v>
      </x:c>
      <x:c r="D10" s="43" t="n">
        <x:f>D$6/(1-$C10)</x:f>
        <x:v>2.5</x:v>
      </x:c>
      <x:c r="E10" s="43" t="n">
        <x:f>E$6/(1-$C10)</x:f>
        <x:v>2.6624999999999996</x:v>
      </x:c>
      <x:c r="F10" s="43" t="n">
        <x:f>F$6/(1-$C10)</x:f>
        <x:v>2.8249999999999997</x:v>
      </x:c>
      <x:c r="G10" s="43" t="n">
        <x:f>G$6/(1-$C10)</x:f>
        <x:v>2.9875</x:v>
      </x:c>
      <x:c r="H10" s="43" t="n">
        <x:f>H$6/(1-$C10)</x:f>
        <x:v>3.15</x:v>
      </x:c>
    </x:row>
    <x:row r="11">
      <x:c r="C11" s="21" t="n">
        <x:v>0.22</x:v>
      </x:c>
      <x:c r="D11" s="43" t="n">
        <x:f>D$6/(1-$C11)</x:f>
        <x:v>2.564102564102564</x:v>
      </x:c>
      <x:c r="E11" s="43" t="n">
        <x:f>E$6/(1-$C11)</x:f>
        <x:v>2.7307692307692304</x:v>
      </x:c>
      <x:c r="F11" s="43" t="n">
        <x:f>F$6/(1-$C11)</x:f>
        <x:v>2.897435897435897</x:v>
      </x:c>
      <x:c r="G11" s="43" t="n">
        <x:f>G$6/(1-$C11)</x:f>
        <x:v>3.0641025641025643</x:v>
      </x:c>
      <x:c r="H11" s="43" t="n">
        <x:f>H$6/(1-$C11)</x:f>
        <x:v>3.230769230769231</x:v>
      </x:c>
    </x:row>
    <x:row r="14">
      <x:c r="C14" s="42" t="str">
        <x:v>At the $2.26 ATRI cost benchmark, changing the target margin from 16.8% to 21.8% increases the 500-mile quote by about $87. The cost-per-mile assumption has the larger effect in this case.</x:v>
      </x:c>
      <x:c r="D14" s="42"/>
      <x:c r="E14" s="42"/>
      <x:c r="F14" s="42"/>
      <x:c r="G14" s="42"/>
      <x:c r="H14" s="42"/>
    </x:row>
    <x:row r="15">
      <x:c r="C15" s="42"/>
      <x:c r="D15" s="42"/>
      <x:c r="E15" s="42"/>
      <x:c r="F15" s="42"/>
      <x:c r="G15" s="42"/>
      <x:c r="H15" s="42"/>
    </x:row>
    <x:row r="16">
      <x:c r="C16" s="42"/>
      <x:c r="D16" s="42"/>
      <x:c r="E16" s="42"/>
      <x:c r="F16" s="42"/>
      <x:c r="G16" s="42"/>
      <x:c r="H16" s="42"/>
    </x:row>
  </x:sheetData>
  <x:mergeCells>
    <x:mergeCell ref="C2:J2"/>
    <x:mergeCell ref="C3:J3"/>
    <x:mergeCell ref="C14:H16"/>
  </x:mergeCells>
  <x:conditionalFormatting sqref="D7:H11">
    <x:cfRule type="colorScale" priority="1">
      <x:colorScale>
        <x:cfvo type="min"/>
        <x:cfvo type="percentile" val="50"/>
        <x:cfvo type="max"/>
        <x:color rgb="FFDDEFE3"/>
        <x:color rgb="FFFFF4CC"/>
        <x:color rgb="FFFCE8E6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44" hidden="0" customWidth="1"/>
    <x:col min="4" max="4" width="25" hidden="0" customWidth="1"/>
    <x:col min="5" max="5" width="64" hidden="0" customWidth="1"/>
    <x:col min="6" max="6" width="44" hidden="0" customWidth="1"/>
    <x:col min="1" max="1" width="3" hidden="0" customWidth="1"/>
    <x:col min="2" max="2" width="3" hidden="0" customWidth="1"/>
  </x:cols>
  <x:sheetData>
    <x:row r="2">
      <x:c r="C2" s="1" t="str">
        <x:v>Sources and Method</x:v>
      </x:c>
    </x:row>
    <x:row r="3">
      <x:c r="C3" s="2" t="str">
        <x:v>Public benchmarks used in the calibration</x:v>
      </x:c>
    </x:row>
    <x:row r="4">
      <x:c r="C4" s="3"/>
      <x:c r="D4" s="3"/>
      <x:c r="E4" s="3"/>
      <x:c r="F4" s="3"/>
      <x:c r="G4" s="3"/>
      <x:c r="H4" s="3"/>
      <x:c r="I4" s="3"/>
      <x:c r="J4" s="3"/>
    </x:row>
    <x:row r="6">
      <x:c r="C6" s="17" t="str">
        <x:v>Source</x:v>
      </x:c>
      <x:c r="D6" s="18" t="str">
        <x:v>Period</x:v>
      </x:c>
      <x:c r="E6" s="18" t="str">
        <x:v>URL</x:v>
      </x:c>
      <x:c r="F6" s="19" t="str">
        <x:v>Use</x:v>
      </x:c>
    </x:row>
    <x:row r="7">
      <x:c r="C7" s="27" t="str">
        <x:v>American Transportation Research Institute, Operational Costs of Trucking</x:v>
      </x:c>
      <x:c r="D7" s="27" t="str">
        <x:v>2024 operations / 2025 report</x:v>
      </x:c>
      <x:c r="E7" s="44" t="str">
        <x:v>https://truckingresearch.org/2025/07/new-atri-report-shows-trucking-profitability-severly-squeezed-by-high-costs-low-rates/</x:v>
      </x:c>
      <x:c r="F7" s="44" t="str">
        <x:v>$2.260 total cost per mile; fuel $0.481; wages $0.798; benefits $0.197</x:v>
      </x:c>
    </x:row>
    <x:row r="8">
      <x:c r="C8" s="27" t="str">
        <x:v>C.H. Robinson Worldwide Form 10-K</x:v>
      </x:c>
      <x:c r="D8" s="27" t="str">
        <x:v>FY2025</x:v>
      </x:c>
      <x:c r="E8" s="44" t="str">
        <x:v>https://www.sec.gov/Archives/edgar/data/1043277/000104327726000009/chrw-20251231.htm</x:v>
      </x:c>
      <x:c r="F8" s="44" t="str">
        <x:v>16.8% adjusted gross profit margin</x:v>
      </x:c>
    </x:row>
    <x:row r="9">
      <x:c r="C9" s="27" t="str">
        <x:v>Original pricing lab</x:v>
      </x:c>
      <x:c r="D9" s="27" t="str">
        <x:v>Worked case</x:v>
      </x:c>
      <x:c r="E9" s="44" t="str">
        <x:v>Portfolio pricing lab</x:v>
      </x:c>
      <x:c r="F9" s="44" t="str">
        <x:v>500 miles; fuel $0.62/mile; driver $0.78/mile; other $0.48/mile; 18% margin on price</x:v>
      </x:c>
    </x:row>
    <x:row r="12">
      <x:c r="C12" s="42" t="str">
        <x:v>Method: price = total carrier cost / (1 - target margin), so margin is calculated on price, not cost. The model excludes deadhead miles, tolls, detention, insurance variation, lane imbalance, equipment type, seasonality and market spot-rate conditions. Broker adjusted gross profit margin is a benchmark for commercial spread, not a carrier operating margin.</x:v>
      </x:c>
      <x:c r="D12" s="42"/>
      <x:c r="E12" s="42"/>
      <x:c r="F12" s="42"/>
    </x:row>
    <x:row r="13">
      <x:c r="C13" s="42"/>
      <x:c r="D13" s="42"/>
      <x:c r="E13" s="42"/>
      <x:c r="F13" s="42"/>
    </x:row>
    <x:row r="14">
      <x:c r="C14" s="42"/>
      <x:c r="D14" s="42"/>
      <x:c r="E14" s="42"/>
      <x:c r="F14" s="42"/>
    </x:row>
    <x:row r="15">
      <x:c r="C15" s="42"/>
      <x:c r="D15" s="42"/>
      <x:c r="E15" s="42"/>
      <x:c r="F15" s="42"/>
    </x:row>
    <x:row r="16">
      <x:c r="C16" s="42"/>
      <x:c r="D16" s="42"/>
      <x:c r="E16" s="42"/>
      <x:c r="F16" s="42"/>
    </x:row>
  </x:sheetData>
  <x:mergeCells>
    <x:mergeCell ref="C2:J2"/>
    <x:mergeCell ref="C3:J3"/>
    <x:mergeCell ref="C12:F16"/>
  </x:mergeCells>
  <x:pageMargins left="0.7" right="0.7" top="0.75" bottom="0.75" header="0.3" footer="0.3"/>
</x:worksheet>
</file>